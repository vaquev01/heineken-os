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iway-my.sharepoint.com/personal/bollif02_heiway_net/Documents/VENDAS/TABELAS - PALETIZAÇÃO/"/>
    </mc:Choice>
  </mc:AlternateContent>
  <xr:revisionPtr revIDLastSave="18" documentId="8_{551C8564-CC8F-495D-9215-FEF829CFBD20}" xr6:coauthVersionLast="47" xr6:coauthVersionMax="47" xr10:uidLastSave="{5FF4B5D6-3FB7-4D77-A196-DC4489704588}"/>
  <bookViews>
    <workbookView xWindow="-110" yWindow="-110" windowWidth="19420" windowHeight="10300" xr2:uid="{35B47BD9-D87E-4A75-A970-0B4815714E6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0" i="1" l="1"/>
  <c r="I69" i="1"/>
  <c r="I68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<sst xmlns="http://schemas.openxmlformats.org/spreadsheetml/2006/main" count="230" uniqueCount="110">
  <si>
    <t>Cód. SKU</t>
  </si>
  <si>
    <t>Descrição do Material</t>
  </si>
  <si>
    <t>Marca</t>
  </si>
  <si>
    <t>CATEGORIA</t>
  </si>
  <si>
    <t>Lastro</t>
  </si>
  <si>
    <t>Qtd Lastros</t>
  </si>
  <si>
    <t>Palete</t>
  </si>
  <si>
    <t>HL/PAC</t>
  </si>
  <si>
    <t>HL/PALLET</t>
  </si>
  <si>
    <t>Bma Amstel Vibes Limão 0,269lt 6UnPbr</t>
  </si>
  <si>
    <t>AMSTEL</t>
  </si>
  <si>
    <t>Bebida Mista</t>
  </si>
  <si>
    <t>Bma Amstel Vibes Mel Mor 0,269lt 6UnPbr</t>
  </si>
  <si>
    <t>CERV AMSTEL LAGER 0,269LT SHR 12UNPBR</t>
  </si>
  <si>
    <t>Mainstream</t>
  </si>
  <si>
    <t>CERV AMSTEL LAGER 0,350LT SLEEK 12UN PBR</t>
  </si>
  <si>
    <t>CERV AMSTEL LAGER 0,355LN DES 2X6UN PBR</t>
  </si>
  <si>
    <t>CERV AMSTEL LAGER 0,473LT DES 12UNPBR</t>
  </si>
  <si>
    <t>CERV AMSTEL ULTRA 0,269LT 12UNPBR</t>
  </si>
  <si>
    <t>AMSTEL ULTRA</t>
  </si>
  <si>
    <t>CERV AMSTEL ULTRA 0,275LN DES 2X6UN PBR</t>
  </si>
  <si>
    <t>Cerv Baden Amb Lag 0,473lt Des 12un Pbr</t>
  </si>
  <si>
    <t>BADEN - BADEN</t>
  </si>
  <si>
    <t>Craft</t>
  </si>
  <si>
    <t>Cerv Baden Amber 0,350lt Sleek 2x6un Pbr</t>
  </si>
  <si>
    <t>CERV BADEN AMERIC IPA 0,6LGFADES12UNPBR</t>
  </si>
  <si>
    <t>CERV BADEN GOLD ALE 0,350LT SLEEK2X6UNPB</t>
  </si>
  <si>
    <t>CERV BADEN GOLD ALE 0,60LGFA DES 12UNPBR</t>
  </si>
  <si>
    <t>CERV BADEN IPA 0,350LT SLEK2X6UNPBR</t>
  </si>
  <si>
    <t>CERV BADEN IPA 0,473LT DES 12UN PBR</t>
  </si>
  <si>
    <t>CERV BADEN PEACH 0,350LT SLEEK 2X6UN PBR</t>
  </si>
  <si>
    <t>CERV BADEN PEACH 0,60LGFA DES 12UN PBR</t>
  </si>
  <si>
    <t>CERV BADEN PILCRIST 0,350LT SLEK2X6UNPBR</t>
  </si>
  <si>
    <t>CERV BADEN PILCRIST 0,473LT DES 12UN PBR</t>
  </si>
  <si>
    <t>CERV BADEN PILCRIST 0,60LGFA DES 12UNPBR</t>
  </si>
  <si>
    <t>CERV BADEN WITBIER 0,350LT SLEEK2X6UNPBR</t>
  </si>
  <si>
    <t>CERV BADEN WITBIER 0,60LGFA DES 12UN PBR</t>
  </si>
  <si>
    <t xml:space="preserve">419444	</t>
  </si>
  <si>
    <t>CHA BAER MATCHA 0,350LN 6UN</t>
  </si>
  <si>
    <t>BAER MATE</t>
  </si>
  <si>
    <t>NAB</t>
  </si>
  <si>
    <t xml:space="preserve">419454	</t>
  </si>
  <si>
    <t>CHA BAER MATE 0,269LT 6UN</t>
  </si>
  <si>
    <t xml:space="preserve">419465	</t>
  </si>
  <si>
    <t>CHA BAER MATE 0,350LN 6UN</t>
  </si>
  <si>
    <t>CERV BLUE MOON 0,350LT SLEEK CART12UNPBR</t>
  </si>
  <si>
    <t>BLUE MOON</t>
  </si>
  <si>
    <t>REFR CLASHD FRUTVERM H 0,269LTDES12UNPBR</t>
  </si>
  <si>
    <t>CLASH'D</t>
  </si>
  <si>
    <t>REFR CLASHD LIMAO H 0,269LT DES 12UN PBR</t>
  </si>
  <si>
    <t>CERV BLUE MOON 0,355LN DESC 4X6UN IMP</t>
  </si>
  <si>
    <t>REFR CLASHD MACA H 0,269LT DES 12UN PBR</t>
  </si>
  <si>
    <t>Refr Clashd Frutverm H 0,269lt Des6unpbr</t>
  </si>
  <si>
    <t>Refr Clashd Limao H 0,269lt Desc 6unpbr</t>
  </si>
  <si>
    <t>Refr Clashd Maca H 0,269lt Desc 6unpbr</t>
  </si>
  <si>
    <t>CERV DEV LAGER 0,350LTSLEK DES 12UNPBR</t>
  </si>
  <si>
    <t>DEVASSA</t>
  </si>
  <si>
    <t>REFR FYS GUARANA 0,350LT DES 12UN PBR</t>
  </si>
  <si>
    <t>FYS</t>
  </si>
  <si>
    <t>REFR FYS LARANJA 0,350LT DES 12UN PBR</t>
  </si>
  <si>
    <t>REFR FYS LIMAO 0,350LT DES 12UN PBR</t>
  </si>
  <si>
    <t>REFR FYS TONICA 0,350LT DES 12UN PBR</t>
  </si>
  <si>
    <t>REFR FYS TONICA ZERO 0,350LT DES 12UN PB</t>
  </si>
  <si>
    <t xml:space="preserve">905283	</t>
  </si>
  <si>
    <t xml:space="preserve">Refrigerante Guaraná Zero Açúcar Fys Lata 350ml					</t>
  </si>
  <si>
    <t xml:space="preserve">905282	</t>
  </si>
  <si>
    <t xml:space="preserve">Refrigerante Limão-Siciliano Zero Açúcar Fys Lata 350ml					</t>
  </si>
  <si>
    <t>CERV HEINEKEN PIL 0,250GFA DESC4X6UNPBR</t>
  </si>
  <si>
    <t>HEINEKEN</t>
  </si>
  <si>
    <t>Premium</t>
  </si>
  <si>
    <t>CERV HEINEKEN PIL 0,269LT DESC 8UN PBR</t>
  </si>
  <si>
    <t>CERV HEINEKEN PIL 0,330GFA DESC 4X6UNPBR</t>
  </si>
  <si>
    <t>CERV HEINEKEN PIL 0,350LT SLEEKDES12UNPB</t>
  </si>
  <si>
    <t>CERV HEINEKEN PIL 0,473LT DES 12UN PBR</t>
  </si>
  <si>
    <t>CERV HEINEKEN PIL 0,6GFA DESC 12UNPBR</t>
  </si>
  <si>
    <t>DRAFT BEER HEINEKEN PIL 5L DESC 2UNPBR</t>
  </si>
  <si>
    <t>CERV HEINEKEN 0,0% 0,269LT DESC 8UN PBR</t>
  </si>
  <si>
    <t>HEINEKEN 0.0%</t>
  </si>
  <si>
    <t>CERV HEINEKEN 0,0% 0,330GFA DES 4X6UNPBR</t>
  </si>
  <si>
    <t>CERV HEINEKEN 0,0% 0,350LTSLEEKDES12UNPB</t>
  </si>
  <si>
    <t>REFR ITUB RETRO 0,350LT DES 12UN PBR</t>
  </si>
  <si>
    <t>ITUBAINA</t>
  </si>
  <si>
    <t>REFR ITUB RETRO ZERO 0,350LT 12UN PBR</t>
  </si>
  <si>
    <t>REFR SCH ITUB 0,355LN DES 2X6UN PBR</t>
  </si>
  <si>
    <t>Cerv Lagunitas D Tim 0,350lt Slk 12un</t>
  </si>
  <si>
    <t>LAGUNITAS</t>
  </si>
  <si>
    <t>Cerv Lagunitas D Time 0,355ln Des12un</t>
  </si>
  <si>
    <t>CERV LAGUNITAS IPA 0,350LT SLEEK 12UN PB</t>
  </si>
  <si>
    <t>CERV LAGUNITAS IPA 0,355LN DES 12UN PBR</t>
  </si>
  <si>
    <t>Agua Mamba Protein Abac Hort 350ltslk6un</t>
  </si>
  <si>
    <t>MAMBA</t>
  </si>
  <si>
    <t>Agua Mamba Protein Lim Fram 350ltslk 6un</t>
  </si>
  <si>
    <t>Agua Mamba Protein Mang Pe M 350ltslk6un</t>
  </si>
  <si>
    <t xml:space="preserve">418637	</t>
  </si>
  <si>
    <t>AGUA MINERAL MAMBA C/ GAS 0,350LT 24UN</t>
  </si>
  <si>
    <t xml:space="preserve">419440	</t>
  </si>
  <si>
    <t>AGUA MINERAL MAMBA S/ GAS 0,350LT 24UN</t>
  </si>
  <si>
    <t xml:space="preserve">418502	</t>
  </si>
  <si>
    <t>CERV PRAYA CLASSICA 0,269LT 12UN</t>
  </si>
  <si>
    <t>PRAYA</t>
  </si>
  <si>
    <t>CERV PRAYA RECEITA CLASS 0,355LN 4X6UN</t>
  </si>
  <si>
    <t>CERV PRAYA RECEITA CLASS 0,60L GFA 12UN</t>
  </si>
  <si>
    <t>CERV SCHIN PIL 0,350LT DES 12UN PBR</t>
  </si>
  <si>
    <t>SCHIN</t>
  </si>
  <si>
    <t>Economy</t>
  </si>
  <si>
    <t>Cerv Sol 0,0% 0,330gfa Desc 4x6unpbr</t>
  </si>
  <si>
    <t>SOL</t>
  </si>
  <si>
    <t>Cerv Sol Pil 0,330gfa Desc Astro4x6unpb</t>
  </si>
  <si>
    <t>Cerv Sol Pil 0,350ltslekcart12unpbr</t>
  </si>
  <si>
    <t>10.52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</si>
</sst>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9"/>
      <name val="Aptos Narrow"/>
      <family val="2"/>
      <scheme val="minor"/>
    </font>
    <font>
      <sz val="1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2" fontId="3" fillId="0" borderId="5" xfId="0" applyNumberFormat="1" applyFont="1" applyBorder="1" applyAlignment="1">
      <alignment horizontal="center" vertical="center"/>
    </xf>
    <xf numFmtId="2" fontId="4" fillId="0" borderId="6" xfId="0" applyNumberFormat="1" applyFont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2" fontId="3" fillId="0" borderId="8" xfId="0" applyNumberFormat="1" applyFont="1" applyBorder="1" applyAlignment="1">
      <alignment horizontal="center" vertical="center"/>
    </xf>
    <xf numFmtId="2" fontId="4" fillId="0" borderId="9" xfId="0" applyNumberFormat="1" applyFont="1" applyBorder="1" applyAlignment="1">
      <alignment horizontal="center" vertical="center"/>
    </xf>
    <xf numFmtId="0" fontId="5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1C1D1-5FE7-44D4-A52E-E1409B87A622}">
  <dimension ref="A1:I84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7.08984375" bestFit="1" customWidth="1"/>
    <col min="2" max="2" width="38" bestFit="1" customWidth="1"/>
    <col min="3" max="3" width="11.36328125" bestFit="1" customWidth="1"/>
    <col min="4" max="4" width="9.1796875" bestFit="1" customWidth="1"/>
    <col min="5" max="5" width="5" bestFit="1" customWidth="1"/>
    <col min="6" max="6" width="8.54296875" bestFit="1" customWidth="1"/>
    <col min="7" max="7" width="5.1796875" bestFit="1" customWidth="1"/>
    <col min="8" max="8" width="7.08984375" customWidth="1"/>
    <col min="9" max="9" width="10.453125" customWidth="1"/>
  </cols>
  <sheetData>
    <row r="1" spans="1:9" ht="26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 x14ac:dyDescent="0.35">
      <c r="A2" s="4">
        <v>905072</v>
      </c>
      <c r="B2" s="5" t="s">
        <v>9</v>
      </c>
      <c r="C2" s="5" t="s">
        <v>10</v>
      </c>
      <c r="D2" s="5" t="s">
        <v>11</v>
      </c>
      <c r="E2" s="5">
        <v>56</v>
      </c>
      <c r="F2" s="5">
        <v>13</v>
      </c>
      <c r="G2" s="5">
        <v>728</v>
      </c>
      <c r="H2" s="6">
        <v>1.6140000000000002E-2</v>
      </c>
      <c r="I2" s="7">
        <f t="shared" ref="I2:I23" si="0">H2*G2</f>
        <v>11.749920000000001</v>
      </c>
    </row>
    <row r="3" spans="1:9" x14ac:dyDescent="0.35">
      <c r="A3" s="4">
        <v>905073</v>
      </c>
      <c r="B3" s="5" t="s">
        <v>12</v>
      </c>
      <c r="C3" s="5" t="s">
        <v>10</v>
      </c>
      <c r="D3" s="5" t="s">
        <v>11</v>
      </c>
      <c r="E3" s="5">
        <v>56</v>
      </c>
      <c r="F3" s="5">
        <v>13</v>
      </c>
      <c r="G3" s="5">
        <v>728</v>
      </c>
      <c r="H3" s="6">
        <v>1.6140000000000002E-2</v>
      </c>
      <c r="I3" s="7">
        <f t="shared" si="0"/>
        <v>11.749920000000001</v>
      </c>
    </row>
    <row r="4" spans="1:9" x14ac:dyDescent="0.35">
      <c r="A4" s="4">
        <v>904113</v>
      </c>
      <c r="B4" s="5" t="s">
        <v>13</v>
      </c>
      <c r="C4" s="5" t="s">
        <v>10</v>
      </c>
      <c r="D4" s="5" t="s">
        <v>14</v>
      </c>
      <c r="E4" s="5">
        <v>28</v>
      </c>
      <c r="F4" s="5">
        <v>12</v>
      </c>
      <c r="G4" s="5">
        <v>336</v>
      </c>
      <c r="H4" s="6">
        <v>3.2280000000000003E-2</v>
      </c>
      <c r="I4" s="7">
        <f t="shared" si="0"/>
        <v>10.846080000000001</v>
      </c>
    </row>
    <row r="5" spans="1:9" x14ac:dyDescent="0.35">
      <c r="A5" s="4">
        <v>904952</v>
      </c>
      <c r="B5" s="5" t="s">
        <v>15</v>
      </c>
      <c r="C5" s="5" t="s">
        <v>10</v>
      </c>
      <c r="D5" s="5" t="s">
        <v>14</v>
      </c>
      <c r="E5" s="5">
        <v>28</v>
      </c>
      <c r="F5" s="5">
        <v>10</v>
      </c>
      <c r="G5" s="5">
        <v>280</v>
      </c>
      <c r="H5" s="6">
        <v>4.1999999999999996E-2</v>
      </c>
      <c r="I5" s="7">
        <f t="shared" si="0"/>
        <v>11.759999999999998</v>
      </c>
    </row>
    <row r="6" spans="1:9" x14ac:dyDescent="0.35">
      <c r="A6" s="4">
        <v>905052</v>
      </c>
      <c r="B6" s="5" t="s">
        <v>16</v>
      </c>
      <c r="C6" s="5" t="s">
        <v>10</v>
      </c>
      <c r="D6" s="5" t="s">
        <v>14</v>
      </c>
      <c r="E6" s="5">
        <v>25</v>
      </c>
      <c r="F6" s="5">
        <v>7</v>
      </c>
      <c r="G6" s="5">
        <v>175</v>
      </c>
      <c r="H6" s="6">
        <v>4.2599999999999999E-2</v>
      </c>
      <c r="I6" s="7">
        <f t="shared" si="0"/>
        <v>7.4550000000000001</v>
      </c>
    </row>
    <row r="7" spans="1:9" x14ac:dyDescent="0.35">
      <c r="A7" s="4">
        <v>904504</v>
      </c>
      <c r="B7" s="5" t="s">
        <v>17</v>
      </c>
      <c r="C7" s="5" t="s">
        <v>10</v>
      </c>
      <c r="D7" s="5" t="s">
        <v>14</v>
      </c>
      <c r="E7" s="5">
        <v>22</v>
      </c>
      <c r="F7" s="5">
        <v>9</v>
      </c>
      <c r="G7" s="5">
        <v>198</v>
      </c>
      <c r="H7" s="6">
        <v>5.6759999999999998E-2</v>
      </c>
      <c r="I7" s="7">
        <f t="shared" si="0"/>
        <v>11.238479999999999</v>
      </c>
    </row>
    <row r="8" spans="1:9" x14ac:dyDescent="0.35">
      <c r="A8" s="4">
        <v>904632</v>
      </c>
      <c r="B8" s="5" t="s">
        <v>18</v>
      </c>
      <c r="C8" s="5" t="s">
        <v>19</v>
      </c>
      <c r="D8" s="5" t="s">
        <v>14</v>
      </c>
      <c r="E8" s="5">
        <v>28</v>
      </c>
      <c r="F8" s="5">
        <v>13</v>
      </c>
      <c r="G8" s="5">
        <v>364</v>
      </c>
      <c r="H8" s="6">
        <v>3.2280000000000003E-2</v>
      </c>
      <c r="I8" s="7">
        <f t="shared" si="0"/>
        <v>11.749920000000001</v>
      </c>
    </row>
    <row r="9" spans="1:9" x14ac:dyDescent="0.35">
      <c r="A9" s="4">
        <v>904631</v>
      </c>
      <c r="B9" s="5" t="s">
        <v>20</v>
      </c>
      <c r="C9" s="5" t="s">
        <v>19</v>
      </c>
      <c r="D9" s="5" t="s">
        <v>14</v>
      </c>
      <c r="E9" s="5">
        <v>28</v>
      </c>
      <c r="F9" s="5">
        <v>7</v>
      </c>
      <c r="G9" s="5">
        <v>196</v>
      </c>
      <c r="H9" s="6">
        <v>3.3000000000000002E-2</v>
      </c>
      <c r="I9" s="7">
        <f t="shared" si="0"/>
        <v>6.468</v>
      </c>
    </row>
    <row r="10" spans="1:9" x14ac:dyDescent="0.35">
      <c r="A10" s="4">
        <v>905373</v>
      </c>
      <c r="B10" s="5" t="s">
        <v>21</v>
      </c>
      <c r="C10" s="5" t="s">
        <v>22</v>
      </c>
      <c r="D10" s="5" t="s">
        <v>23</v>
      </c>
      <c r="E10" s="5">
        <v>22</v>
      </c>
      <c r="F10" s="5">
        <v>10</v>
      </c>
      <c r="G10" s="5">
        <v>220</v>
      </c>
      <c r="H10" s="6">
        <v>5.6760000000000005E-2</v>
      </c>
      <c r="I10" s="7">
        <f t="shared" si="0"/>
        <v>12.487200000000001</v>
      </c>
    </row>
    <row r="11" spans="1:9" x14ac:dyDescent="0.35">
      <c r="A11" s="4">
        <v>905372</v>
      </c>
      <c r="B11" s="5" t="s">
        <v>24</v>
      </c>
      <c r="C11" s="5" t="s">
        <v>22</v>
      </c>
      <c r="D11" s="5" t="s">
        <v>23</v>
      </c>
      <c r="E11" s="5">
        <v>28</v>
      </c>
      <c r="F11" s="5">
        <v>10</v>
      </c>
      <c r="G11" s="5">
        <v>280</v>
      </c>
      <c r="H11" s="6">
        <v>4.1999999999999996E-2</v>
      </c>
      <c r="I11" s="7">
        <f t="shared" si="0"/>
        <v>11.759999999999998</v>
      </c>
    </row>
    <row r="12" spans="1:9" x14ac:dyDescent="0.35">
      <c r="A12" s="4">
        <v>902832</v>
      </c>
      <c r="B12" s="5" t="s">
        <v>25</v>
      </c>
      <c r="C12" s="5" t="s">
        <v>22</v>
      </c>
      <c r="D12" s="5" t="s">
        <v>23</v>
      </c>
      <c r="E12" s="5">
        <v>15</v>
      </c>
      <c r="F12" s="5">
        <v>4</v>
      </c>
      <c r="G12" s="5">
        <v>60</v>
      </c>
      <c r="H12" s="6">
        <v>7.1999999999999995E-2</v>
      </c>
      <c r="I12" s="7">
        <f t="shared" si="0"/>
        <v>4.3199999999999994</v>
      </c>
    </row>
    <row r="13" spans="1:9" x14ac:dyDescent="0.35">
      <c r="A13" s="4">
        <v>904831</v>
      </c>
      <c r="B13" s="5" t="s">
        <v>26</v>
      </c>
      <c r="C13" s="5" t="s">
        <v>22</v>
      </c>
      <c r="D13" s="5" t="s">
        <v>23</v>
      </c>
      <c r="E13" s="5">
        <v>28</v>
      </c>
      <c r="F13" s="5">
        <v>10</v>
      </c>
      <c r="G13" s="5">
        <v>280</v>
      </c>
      <c r="H13" s="6">
        <v>4.1999999999999996E-2</v>
      </c>
      <c r="I13" s="7">
        <f t="shared" si="0"/>
        <v>11.759999999999998</v>
      </c>
    </row>
    <row r="14" spans="1:9" x14ac:dyDescent="0.35">
      <c r="A14" s="4">
        <v>900118</v>
      </c>
      <c r="B14" s="5" t="s">
        <v>27</v>
      </c>
      <c r="C14" s="5" t="s">
        <v>22</v>
      </c>
      <c r="D14" s="5" t="s">
        <v>23</v>
      </c>
      <c r="E14" s="5">
        <v>15</v>
      </c>
      <c r="F14" s="5">
        <v>4</v>
      </c>
      <c r="G14" s="5">
        <v>60</v>
      </c>
      <c r="H14" s="6">
        <v>7.1999999999999995E-2</v>
      </c>
      <c r="I14" s="7">
        <f t="shared" si="0"/>
        <v>4.3199999999999994</v>
      </c>
    </row>
    <row r="15" spans="1:9" x14ac:dyDescent="0.35">
      <c r="A15" s="4">
        <v>904451</v>
      </c>
      <c r="B15" s="5" t="s">
        <v>28</v>
      </c>
      <c r="C15" s="5" t="s">
        <v>22</v>
      </c>
      <c r="D15" s="5" t="s">
        <v>23</v>
      </c>
      <c r="E15" s="5">
        <v>28</v>
      </c>
      <c r="F15" s="5">
        <v>10</v>
      </c>
      <c r="G15" s="5">
        <v>280</v>
      </c>
      <c r="H15" s="6">
        <v>4.1999999999999996E-2</v>
      </c>
      <c r="I15" s="7">
        <f t="shared" si="0"/>
        <v>11.759999999999998</v>
      </c>
    </row>
    <row r="16" spans="1:9" x14ac:dyDescent="0.35">
      <c r="A16" s="4">
        <v>905001</v>
      </c>
      <c r="B16" s="5" t="s">
        <v>29</v>
      </c>
      <c r="C16" s="5" t="s">
        <v>22</v>
      </c>
      <c r="D16" s="5" t="s">
        <v>23</v>
      </c>
      <c r="E16" s="5">
        <v>22</v>
      </c>
      <c r="F16" s="5">
        <v>10</v>
      </c>
      <c r="G16" s="5">
        <v>220</v>
      </c>
      <c r="H16" s="6">
        <v>5.6759999999999998E-2</v>
      </c>
      <c r="I16" s="7">
        <f t="shared" si="0"/>
        <v>12.4872</v>
      </c>
    </row>
    <row r="17" spans="1:9" x14ac:dyDescent="0.35">
      <c r="A17" s="4">
        <v>904743</v>
      </c>
      <c r="B17" s="5" t="s">
        <v>30</v>
      </c>
      <c r="C17" s="5" t="s">
        <v>22</v>
      </c>
      <c r="D17" s="5" t="s">
        <v>23</v>
      </c>
      <c r="E17" s="5">
        <v>28</v>
      </c>
      <c r="F17" s="5">
        <v>10</v>
      </c>
      <c r="G17" s="5">
        <v>280</v>
      </c>
      <c r="H17" s="6">
        <v>4.1999999999999996E-2</v>
      </c>
      <c r="I17" s="7">
        <f t="shared" si="0"/>
        <v>11.759999999999998</v>
      </c>
    </row>
    <row r="18" spans="1:9" x14ac:dyDescent="0.35">
      <c r="A18" s="4">
        <v>904742</v>
      </c>
      <c r="B18" s="5" t="s">
        <v>31</v>
      </c>
      <c r="C18" s="5" t="s">
        <v>22</v>
      </c>
      <c r="D18" s="5" t="s">
        <v>23</v>
      </c>
      <c r="E18" s="5">
        <v>15</v>
      </c>
      <c r="F18" s="5">
        <v>4</v>
      </c>
      <c r="G18" s="5">
        <v>280</v>
      </c>
      <c r="H18" s="6">
        <v>7.1999999999999995E-2</v>
      </c>
      <c r="I18" s="7">
        <f t="shared" si="0"/>
        <v>20.16</v>
      </c>
    </row>
    <row r="19" spans="1:9" x14ac:dyDescent="0.35">
      <c r="A19" s="4">
        <v>904441</v>
      </c>
      <c r="B19" s="5" t="s">
        <v>32</v>
      </c>
      <c r="C19" s="5" t="s">
        <v>22</v>
      </c>
      <c r="D19" s="5" t="s">
        <v>23</v>
      </c>
      <c r="E19" s="5">
        <v>28</v>
      </c>
      <c r="F19" s="5">
        <v>10</v>
      </c>
      <c r="G19" s="5">
        <v>280</v>
      </c>
      <c r="H19" s="6">
        <v>4.1999999999999996E-2</v>
      </c>
      <c r="I19" s="7">
        <f t="shared" si="0"/>
        <v>11.759999999999998</v>
      </c>
    </row>
    <row r="20" spans="1:9" x14ac:dyDescent="0.35">
      <c r="A20" s="4">
        <v>905002</v>
      </c>
      <c r="B20" s="5" t="s">
        <v>33</v>
      </c>
      <c r="C20" s="5" t="s">
        <v>22</v>
      </c>
      <c r="D20" s="5" t="s">
        <v>23</v>
      </c>
      <c r="E20" s="5">
        <v>22</v>
      </c>
      <c r="F20" s="5">
        <v>10</v>
      </c>
      <c r="G20" s="5">
        <v>220</v>
      </c>
      <c r="H20" s="6">
        <v>5.6760000000000005E-2</v>
      </c>
      <c r="I20" s="7">
        <f t="shared" si="0"/>
        <v>12.487200000000001</v>
      </c>
    </row>
    <row r="21" spans="1:9" x14ac:dyDescent="0.35">
      <c r="A21" s="4">
        <v>900109</v>
      </c>
      <c r="B21" s="5" t="s">
        <v>34</v>
      </c>
      <c r="C21" s="5" t="s">
        <v>22</v>
      </c>
      <c r="D21" s="5" t="s">
        <v>23</v>
      </c>
      <c r="E21" s="5">
        <v>15</v>
      </c>
      <c r="F21" s="5">
        <v>4</v>
      </c>
      <c r="G21" s="5">
        <v>60</v>
      </c>
      <c r="H21" s="6">
        <v>7.1999999999999995E-2</v>
      </c>
      <c r="I21" s="7">
        <f t="shared" si="0"/>
        <v>4.3199999999999994</v>
      </c>
    </row>
    <row r="22" spans="1:9" x14ac:dyDescent="0.35">
      <c r="A22" s="4">
        <v>904193</v>
      </c>
      <c r="B22" s="5" t="s">
        <v>35</v>
      </c>
      <c r="C22" s="5" t="s">
        <v>22</v>
      </c>
      <c r="D22" s="5" t="s">
        <v>23</v>
      </c>
      <c r="E22" s="5">
        <v>28</v>
      </c>
      <c r="F22" s="5">
        <v>10</v>
      </c>
      <c r="G22" s="5">
        <v>280</v>
      </c>
      <c r="H22" s="6">
        <v>4.1999999999999996E-2</v>
      </c>
      <c r="I22" s="7">
        <f t="shared" si="0"/>
        <v>11.759999999999998</v>
      </c>
    </row>
    <row r="23" spans="1:9" x14ac:dyDescent="0.35">
      <c r="A23" s="4">
        <v>901162</v>
      </c>
      <c r="B23" s="5" t="s">
        <v>36</v>
      </c>
      <c r="C23" s="5" t="s">
        <v>22</v>
      </c>
      <c r="D23" s="5" t="s">
        <v>23</v>
      </c>
      <c r="E23" s="5">
        <v>15</v>
      </c>
      <c r="F23" s="5">
        <v>4</v>
      </c>
      <c r="G23" s="5">
        <v>60</v>
      </c>
      <c r="H23" s="6">
        <v>7.1999999999999995E-2</v>
      </c>
      <c r="I23" s="7">
        <f t="shared" si="0"/>
        <v>4.3199999999999994</v>
      </c>
    </row>
    <row r="24" spans="1:9" x14ac:dyDescent="0.35">
      <c r="A24" s="4" t="s">
        <v>37</v>
      </c>
      <c r="B24" s="5" t="s">
        <v>38</v>
      </c>
      <c r="C24" s="5" t="s">
        <v>39</v>
      </c>
      <c r="D24" s="5" t="s">
        <v>40</v>
      </c>
      <c r="E24" s="5">
        <v>50</v>
      </c>
      <c r="F24" s="5">
        <v>7</v>
      </c>
      <c r="G24" s="5">
        <v>350</v>
      </c>
      <c r="H24" s="6"/>
      <c r="I24" s="7">
        <v>7.35</v>
      </c>
    </row>
    <row r="25" spans="1:9" x14ac:dyDescent="0.35">
      <c r="A25" s="4" t="s">
        <v>41</v>
      </c>
      <c r="B25" s="5" t="s">
        <v>42</v>
      </c>
      <c r="C25" s="5" t="s">
        <v>39</v>
      </c>
      <c r="D25" s="5" t="s">
        <v>40</v>
      </c>
      <c r="E25" s="5">
        <v>56</v>
      </c>
      <c r="F25" s="5">
        <v>13</v>
      </c>
      <c r="G25" s="5">
        <v>728</v>
      </c>
      <c r="H25" s="6"/>
      <c r="I25" s="7">
        <v>11.75</v>
      </c>
    </row>
    <row r="26" spans="1:9" x14ac:dyDescent="0.35">
      <c r="A26" s="4" t="s">
        <v>43</v>
      </c>
      <c r="B26" s="5" t="s">
        <v>44</v>
      </c>
      <c r="C26" s="5" t="s">
        <v>39</v>
      </c>
      <c r="D26" s="5" t="s">
        <v>40</v>
      </c>
      <c r="E26" s="5">
        <v>50</v>
      </c>
      <c r="F26" s="5">
        <v>7</v>
      </c>
      <c r="G26" s="5">
        <v>350</v>
      </c>
      <c r="H26" s="6"/>
      <c r="I26" s="7">
        <v>7.35</v>
      </c>
    </row>
    <row r="27" spans="1:9" x14ac:dyDescent="0.35">
      <c r="A27" s="4">
        <v>904612</v>
      </c>
      <c r="B27" s="5" t="s">
        <v>45</v>
      </c>
      <c r="C27" s="5" t="s">
        <v>46</v>
      </c>
      <c r="D27" s="5" t="s">
        <v>23</v>
      </c>
      <c r="E27" s="5">
        <v>28</v>
      </c>
      <c r="F27" s="5">
        <v>10</v>
      </c>
      <c r="G27" s="5">
        <v>280</v>
      </c>
      <c r="H27" s="6">
        <v>4.1999999999999996E-2</v>
      </c>
      <c r="I27" s="7">
        <f t="shared" ref="I27:I59" si="1">H27*G27</f>
        <v>11.759999999999998</v>
      </c>
    </row>
    <row r="28" spans="1:9" x14ac:dyDescent="0.35">
      <c r="A28" s="4">
        <v>904892</v>
      </c>
      <c r="B28" s="5" t="s">
        <v>47</v>
      </c>
      <c r="C28" s="5" t="s">
        <v>48</v>
      </c>
      <c r="D28" s="5" t="s">
        <v>40</v>
      </c>
      <c r="E28" s="5">
        <v>28</v>
      </c>
      <c r="F28" s="5">
        <v>12</v>
      </c>
      <c r="G28" s="5">
        <v>336</v>
      </c>
      <c r="H28" s="6">
        <v>3.2280000000000003E-2</v>
      </c>
      <c r="I28" s="7">
        <f t="shared" si="1"/>
        <v>10.846080000000001</v>
      </c>
    </row>
    <row r="29" spans="1:9" x14ac:dyDescent="0.35">
      <c r="A29" s="4">
        <v>904893</v>
      </c>
      <c r="B29" s="5" t="s">
        <v>49</v>
      </c>
      <c r="C29" s="5" t="s">
        <v>48</v>
      </c>
      <c r="D29" s="5" t="s">
        <v>40</v>
      </c>
      <c r="E29" s="5">
        <v>28</v>
      </c>
      <c r="F29" s="5">
        <v>12</v>
      </c>
      <c r="G29" s="5">
        <v>336</v>
      </c>
      <c r="H29" s="6">
        <v>3.2280000000000003E-2</v>
      </c>
      <c r="I29" s="7">
        <f t="shared" si="1"/>
        <v>10.846080000000001</v>
      </c>
    </row>
    <row r="30" spans="1:9" x14ac:dyDescent="0.35">
      <c r="A30" s="4">
        <v>904602</v>
      </c>
      <c r="B30" s="5" t="s">
        <v>50</v>
      </c>
      <c r="C30" s="5" t="s">
        <v>46</v>
      </c>
      <c r="D30" s="5" t="s">
        <v>23</v>
      </c>
      <c r="E30" s="5">
        <v>10</v>
      </c>
      <c r="F30" s="5">
        <v>7</v>
      </c>
      <c r="G30" s="5">
        <v>70</v>
      </c>
      <c r="H30" s="6">
        <v>8.5199999999999998E-2</v>
      </c>
      <c r="I30" s="7">
        <f t="shared" si="1"/>
        <v>5.9639999999999995</v>
      </c>
    </row>
    <row r="31" spans="1:9" x14ac:dyDescent="0.35">
      <c r="A31" s="4">
        <v>904891</v>
      </c>
      <c r="B31" s="5" t="s">
        <v>51</v>
      </c>
      <c r="C31" s="5" t="s">
        <v>48</v>
      </c>
      <c r="D31" s="5" t="s">
        <v>40</v>
      </c>
      <c r="E31" s="5">
        <v>28</v>
      </c>
      <c r="F31" s="5">
        <v>12</v>
      </c>
      <c r="G31" s="5">
        <v>336</v>
      </c>
      <c r="H31" s="6">
        <v>3.2280000000000003E-2</v>
      </c>
      <c r="I31" s="7">
        <f t="shared" si="1"/>
        <v>10.846080000000001</v>
      </c>
    </row>
    <row r="32" spans="1:9" x14ac:dyDescent="0.35">
      <c r="A32" s="4">
        <v>905193</v>
      </c>
      <c r="B32" s="5" t="s">
        <v>52</v>
      </c>
      <c r="C32" s="5" t="s">
        <v>48</v>
      </c>
      <c r="D32" s="5" t="s">
        <v>40</v>
      </c>
      <c r="E32" s="5">
        <v>56</v>
      </c>
      <c r="F32" s="5">
        <v>13</v>
      </c>
      <c r="G32" s="5">
        <v>728</v>
      </c>
      <c r="H32" s="6">
        <v>1.6140000000000002E-2</v>
      </c>
      <c r="I32" s="7">
        <f t="shared" si="1"/>
        <v>11.749920000000001</v>
      </c>
    </row>
    <row r="33" spans="1:9" x14ac:dyDescent="0.35">
      <c r="A33" s="4">
        <v>905194</v>
      </c>
      <c r="B33" s="5" t="s">
        <v>53</v>
      </c>
      <c r="C33" s="5" t="s">
        <v>48</v>
      </c>
      <c r="D33" s="5" t="s">
        <v>40</v>
      </c>
      <c r="E33" s="5">
        <v>56</v>
      </c>
      <c r="F33" s="5">
        <v>13</v>
      </c>
      <c r="G33" s="5">
        <v>728</v>
      </c>
      <c r="H33" s="6">
        <v>1.6140000000000002E-2</v>
      </c>
      <c r="I33" s="7">
        <f t="shared" si="1"/>
        <v>11.749920000000001</v>
      </c>
    </row>
    <row r="34" spans="1:9" x14ac:dyDescent="0.35">
      <c r="A34" s="4">
        <v>905192</v>
      </c>
      <c r="B34" s="5" t="s">
        <v>54</v>
      </c>
      <c r="C34" s="5" t="s">
        <v>48</v>
      </c>
      <c r="D34" s="5" t="s">
        <v>40</v>
      </c>
      <c r="E34" s="5">
        <v>56</v>
      </c>
      <c r="F34" s="5">
        <v>13</v>
      </c>
      <c r="G34" s="5">
        <v>728</v>
      </c>
      <c r="H34" s="6">
        <v>1.6140000000000002E-2</v>
      </c>
      <c r="I34" s="7">
        <f t="shared" si="1"/>
        <v>11.749920000000001</v>
      </c>
    </row>
    <row r="35" spans="1:9" x14ac:dyDescent="0.35">
      <c r="A35" s="4">
        <v>903131</v>
      </c>
      <c r="B35" s="5" t="s">
        <v>55</v>
      </c>
      <c r="C35" s="5" t="s">
        <v>56</v>
      </c>
      <c r="D35" s="5" t="s">
        <v>14</v>
      </c>
      <c r="E35" s="5">
        <v>28</v>
      </c>
      <c r="F35" s="5">
        <v>10</v>
      </c>
      <c r="G35" s="5">
        <v>280</v>
      </c>
      <c r="H35" s="6">
        <v>4.1999999999999996E-2</v>
      </c>
      <c r="I35" s="7">
        <f t="shared" si="1"/>
        <v>11.759999999999998</v>
      </c>
    </row>
    <row r="36" spans="1:9" x14ac:dyDescent="0.35">
      <c r="A36" s="4">
        <v>903791</v>
      </c>
      <c r="B36" s="5" t="s">
        <v>57</v>
      </c>
      <c r="C36" s="5" t="s">
        <v>58</v>
      </c>
      <c r="D36" s="5" t="s">
        <v>40</v>
      </c>
      <c r="E36" s="5">
        <v>22</v>
      </c>
      <c r="F36" s="5">
        <v>13</v>
      </c>
      <c r="G36" s="5">
        <v>286</v>
      </c>
      <c r="H36" s="6">
        <v>4.1999999999999996E-2</v>
      </c>
      <c r="I36" s="7">
        <f t="shared" si="1"/>
        <v>12.011999999999999</v>
      </c>
    </row>
    <row r="37" spans="1:9" x14ac:dyDescent="0.35">
      <c r="A37" s="4">
        <v>903793</v>
      </c>
      <c r="B37" s="5" t="s">
        <v>59</v>
      </c>
      <c r="C37" s="5" t="s">
        <v>58</v>
      </c>
      <c r="D37" s="5" t="s">
        <v>40</v>
      </c>
      <c r="E37" s="5">
        <v>22</v>
      </c>
      <c r="F37" s="5">
        <v>13</v>
      </c>
      <c r="G37" s="5">
        <v>286</v>
      </c>
      <c r="H37" s="6">
        <v>4.1999999999999996E-2</v>
      </c>
      <c r="I37" s="7">
        <f t="shared" si="1"/>
        <v>12.011999999999999</v>
      </c>
    </row>
    <row r="38" spans="1:9" x14ac:dyDescent="0.35">
      <c r="A38" s="4">
        <v>903795</v>
      </c>
      <c r="B38" s="5" t="s">
        <v>60</v>
      </c>
      <c r="C38" s="5" t="s">
        <v>58</v>
      </c>
      <c r="D38" s="5" t="s">
        <v>40</v>
      </c>
      <c r="E38" s="5">
        <v>22</v>
      </c>
      <c r="F38" s="5">
        <v>13</v>
      </c>
      <c r="G38" s="5">
        <v>286</v>
      </c>
      <c r="H38" s="6">
        <v>4.1999999999999996E-2</v>
      </c>
      <c r="I38" s="7">
        <f t="shared" si="1"/>
        <v>12.011999999999999</v>
      </c>
    </row>
    <row r="39" spans="1:9" x14ac:dyDescent="0.35">
      <c r="A39" s="4">
        <v>903797</v>
      </c>
      <c r="B39" s="5" t="s">
        <v>61</v>
      </c>
      <c r="C39" s="5" t="s">
        <v>58</v>
      </c>
      <c r="D39" s="5" t="s">
        <v>40</v>
      </c>
      <c r="E39" s="5">
        <v>22</v>
      </c>
      <c r="F39" s="5">
        <v>13</v>
      </c>
      <c r="G39" s="5">
        <v>286</v>
      </c>
      <c r="H39" s="6">
        <v>4.1999999999999996E-2</v>
      </c>
      <c r="I39" s="7">
        <f t="shared" si="1"/>
        <v>12.011999999999999</v>
      </c>
    </row>
    <row r="40" spans="1:9" x14ac:dyDescent="0.35">
      <c r="A40" s="4">
        <v>904496</v>
      </c>
      <c r="B40" s="5" t="s">
        <v>62</v>
      </c>
      <c r="C40" s="5" t="s">
        <v>58</v>
      </c>
      <c r="D40" s="5" t="s">
        <v>40</v>
      </c>
      <c r="E40" s="5">
        <v>22</v>
      </c>
      <c r="F40" s="5">
        <v>13</v>
      </c>
      <c r="G40" s="5">
        <v>286</v>
      </c>
      <c r="H40" s="6">
        <v>4.1999999999999996E-2</v>
      </c>
      <c r="I40" s="7">
        <f t="shared" si="1"/>
        <v>12.011999999999999</v>
      </c>
    </row>
    <row r="41" spans="1:9" x14ac:dyDescent="0.35">
      <c r="A41" s="4" t="s">
        <v>63</v>
      </c>
      <c r="B41" s="5" t="s">
        <v>64</v>
      </c>
      <c r="C41" s="5" t="s">
        <v>58</v>
      </c>
      <c r="D41" s="5" t="s">
        <v>40</v>
      </c>
      <c r="E41" s="5">
        <v>22</v>
      </c>
      <c r="F41" s="5">
        <v>13</v>
      </c>
      <c r="G41" s="5">
        <v>286</v>
      </c>
      <c r="H41" s="6">
        <v>4.1999999999999996E-2</v>
      </c>
      <c r="I41" s="7">
        <f t="shared" si="1"/>
        <v>12.011999999999999</v>
      </c>
    </row>
    <row r="42" spans="1:9" x14ac:dyDescent="0.35">
      <c r="A42" s="4" t="s">
        <v>65</v>
      </c>
      <c r="B42" s="5" t="s">
        <v>66</v>
      </c>
      <c r="C42" s="5" t="s">
        <v>58</v>
      </c>
      <c r="D42" s="5" t="s">
        <v>40</v>
      </c>
      <c r="E42" s="5">
        <v>22</v>
      </c>
      <c r="F42" s="5">
        <v>13</v>
      </c>
      <c r="G42" s="5">
        <v>286</v>
      </c>
      <c r="H42" s="6">
        <v>4.1999999999999996E-2</v>
      </c>
      <c r="I42" s="7">
        <f t="shared" si="1"/>
        <v>12.011999999999999</v>
      </c>
    </row>
    <row r="43" spans="1:9" x14ac:dyDescent="0.35">
      <c r="A43" s="8">
        <v>905291</v>
      </c>
      <c r="B43" s="5" t="s">
        <v>67</v>
      </c>
      <c r="C43" s="5" t="s">
        <v>68</v>
      </c>
      <c r="D43" s="5" t="s">
        <v>69</v>
      </c>
      <c r="E43" s="5">
        <v>13</v>
      </c>
      <c r="F43" s="5">
        <v>8</v>
      </c>
      <c r="G43" s="5">
        <v>104</v>
      </c>
      <c r="H43" s="6">
        <v>0.06</v>
      </c>
      <c r="I43" s="7">
        <f t="shared" si="1"/>
        <v>6.24</v>
      </c>
    </row>
    <row r="44" spans="1:9" x14ac:dyDescent="0.35">
      <c r="A44" s="4">
        <v>904721</v>
      </c>
      <c r="B44" s="5" t="s">
        <v>70</v>
      </c>
      <c r="C44" s="5" t="s">
        <v>68</v>
      </c>
      <c r="D44" s="5" t="s">
        <v>69</v>
      </c>
      <c r="E44" s="5">
        <v>40</v>
      </c>
      <c r="F44" s="5">
        <v>13</v>
      </c>
      <c r="G44" s="5">
        <v>520</v>
      </c>
      <c r="H44" s="6">
        <v>2.1520000000000001E-2</v>
      </c>
      <c r="I44" s="7">
        <f t="shared" si="1"/>
        <v>11.1904</v>
      </c>
    </row>
    <row r="45" spans="1:9" x14ac:dyDescent="0.35">
      <c r="A45" s="4">
        <v>903478</v>
      </c>
      <c r="B45" s="5" t="s">
        <v>71</v>
      </c>
      <c r="C45" s="5" t="s">
        <v>68</v>
      </c>
      <c r="D45" s="5" t="s">
        <v>69</v>
      </c>
      <c r="E45" s="5">
        <v>13</v>
      </c>
      <c r="F45" s="5">
        <v>7</v>
      </c>
      <c r="G45" s="5">
        <v>91</v>
      </c>
      <c r="H45" s="6">
        <v>7.9199999999999993E-2</v>
      </c>
      <c r="I45" s="7">
        <f t="shared" si="1"/>
        <v>7.2071999999999994</v>
      </c>
    </row>
    <row r="46" spans="1:9" x14ac:dyDescent="0.35">
      <c r="A46" s="4">
        <v>904932</v>
      </c>
      <c r="B46" s="5" t="s">
        <v>72</v>
      </c>
      <c r="C46" s="5" t="s">
        <v>68</v>
      </c>
      <c r="D46" s="5" t="s">
        <v>69</v>
      </c>
      <c r="E46" s="5">
        <v>28</v>
      </c>
      <c r="F46" s="5">
        <v>10</v>
      </c>
      <c r="G46" s="5">
        <v>280</v>
      </c>
      <c r="H46" s="6">
        <v>4.1999999999999996E-2</v>
      </c>
      <c r="I46" s="7">
        <f t="shared" si="1"/>
        <v>11.759999999999998</v>
      </c>
    </row>
    <row r="47" spans="1:9" x14ac:dyDescent="0.35">
      <c r="A47" s="4">
        <v>903940</v>
      </c>
      <c r="B47" s="5" t="s">
        <v>73</v>
      </c>
      <c r="C47" s="5" t="s">
        <v>68</v>
      </c>
      <c r="D47" s="5" t="s">
        <v>69</v>
      </c>
      <c r="E47" s="5">
        <v>22</v>
      </c>
      <c r="F47" s="5">
        <v>9</v>
      </c>
      <c r="G47" s="5">
        <v>198</v>
      </c>
      <c r="H47" s="6">
        <v>5.6759999999999998E-2</v>
      </c>
      <c r="I47" s="7">
        <f t="shared" si="1"/>
        <v>11.238479999999999</v>
      </c>
    </row>
    <row r="48" spans="1:9" x14ac:dyDescent="0.35">
      <c r="A48" s="4">
        <v>903480</v>
      </c>
      <c r="B48" s="5" t="s">
        <v>74</v>
      </c>
      <c r="C48" s="5" t="s">
        <v>68</v>
      </c>
      <c r="D48" s="5" t="s">
        <v>69</v>
      </c>
      <c r="E48" s="5">
        <v>16</v>
      </c>
      <c r="F48" s="5">
        <v>6</v>
      </c>
      <c r="G48" s="5">
        <v>96</v>
      </c>
      <c r="H48" s="6">
        <v>7.1999999999999995E-2</v>
      </c>
      <c r="I48" s="7">
        <f t="shared" si="1"/>
        <v>6.911999999999999</v>
      </c>
    </row>
    <row r="49" spans="1:9" x14ac:dyDescent="0.35">
      <c r="A49" s="4">
        <v>903483</v>
      </c>
      <c r="B49" s="5" t="s">
        <v>75</v>
      </c>
      <c r="C49" s="5" t="s">
        <v>68</v>
      </c>
      <c r="D49" s="5" t="s">
        <v>69</v>
      </c>
      <c r="E49" s="5">
        <v>15</v>
      </c>
      <c r="F49" s="5">
        <v>6</v>
      </c>
      <c r="G49" s="5">
        <v>90</v>
      </c>
      <c r="H49" s="6">
        <v>0.1</v>
      </c>
      <c r="I49" s="7">
        <f t="shared" si="1"/>
        <v>9</v>
      </c>
    </row>
    <row r="50" spans="1:9" x14ac:dyDescent="0.35">
      <c r="A50" s="4">
        <v>904895</v>
      </c>
      <c r="B50" s="5" t="s">
        <v>76</v>
      </c>
      <c r="C50" s="5" t="s">
        <v>77</v>
      </c>
      <c r="D50" s="5" t="s">
        <v>69</v>
      </c>
      <c r="E50" s="5">
        <v>40</v>
      </c>
      <c r="F50" s="5">
        <v>13</v>
      </c>
      <c r="G50" s="5">
        <v>520</v>
      </c>
      <c r="H50" s="6">
        <v>2.1520000000000001E-2</v>
      </c>
      <c r="I50" s="7">
        <f t="shared" si="1"/>
        <v>11.1904</v>
      </c>
    </row>
    <row r="51" spans="1:9" x14ac:dyDescent="0.35">
      <c r="A51" s="4">
        <v>903996</v>
      </c>
      <c r="B51" s="5" t="s">
        <v>78</v>
      </c>
      <c r="C51" s="5" t="s">
        <v>77</v>
      </c>
      <c r="D51" s="5" t="s">
        <v>69</v>
      </c>
      <c r="E51" s="5">
        <v>13</v>
      </c>
      <c r="F51" s="5">
        <v>7</v>
      </c>
      <c r="G51" s="5">
        <v>91</v>
      </c>
      <c r="H51" s="6">
        <v>7.9199999999999993E-2</v>
      </c>
      <c r="I51" s="7">
        <f t="shared" si="1"/>
        <v>7.2071999999999994</v>
      </c>
    </row>
    <row r="52" spans="1:9" x14ac:dyDescent="0.35">
      <c r="A52" s="4">
        <v>904961</v>
      </c>
      <c r="B52" s="5" t="s">
        <v>79</v>
      </c>
      <c r="C52" s="5" t="s">
        <v>77</v>
      </c>
      <c r="D52" s="5" t="s">
        <v>69</v>
      </c>
      <c r="E52" s="5">
        <v>28</v>
      </c>
      <c r="F52" s="5">
        <v>10</v>
      </c>
      <c r="G52" s="5">
        <v>280</v>
      </c>
      <c r="H52" s="6">
        <v>4.1999999999999996E-2</v>
      </c>
      <c r="I52" s="7">
        <f t="shared" si="1"/>
        <v>11.759999999999998</v>
      </c>
    </row>
    <row r="53" spans="1:9" x14ac:dyDescent="0.35">
      <c r="A53" s="4">
        <v>902321</v>
      </c>
      <c r="B53" s="5" t="s">
        <v>80</v>
      </c>
      <c r="C53" s="5" t="s">
        <v>81</v>
      </c>
      <c r="D53" s="5" t="s">
        <v>40</v>
      </c>
      <c r="E53" s="5">
        <v>22</v>
      </c>
      <c r="F53" s="5">
        <v>13</v>
      </c>
      <c r="G53" s="5">
        <v>286</v>
      </c>
      <c r="H53" s="6">
        <v>4.1999999999999996E-2</v>
      </c>
      <c r="I53" s="7">
        <f t="shared" si="1"/>
        <v>12.011999999999999</v>
      </c>
    </row>
    <row r="54" spans="1:9" x14ac:dyDescent="0.35">
      <c r="A54" s="4">
        <v>902323</v>
      </c>
      <c r="B54" s="5" t="s">
        <v>82</v>
      </c>
      <c r="C54" s="5" t="s">
        <v>81</v>
      </c>
      <c r="D54" s="5" t="s">
        <v>40</v>
      </c>
      <c r="E54" s="5">
        <v>22</v>
      </c>
      <c r="F54" s="5">
        <v>13</v>
      </c>
      <c r="G54" s="5">
        <v>286</v>
      </c>
      <c r="H54" s="6">
        <v>4.1999999999999996E-2</v>
      </c>
      <c r="I54" s="7">
        <f t="shared" si="1"/>
        <v>12.011999999999999</v>
      </c>
    </row>
    <row r="55" spans="1:9" x14ac:dyDescent="0.35">
      <c r="A55" s="4">
        <v>900525</v>
      </c>
      <c r="B55" s="5" t="s">
        <v>83</v>
      </c>
      <c r="C55" s="5" t="s">
        <v>81</v>
      </c>
      <c r="D55" s="5" t="s">
        <v>40</v>
      </c>
      <c r="E55" s="5">
        <v>25</v>
      </c>
      <c r="F55" s="5">
        <v>7</v>
      </c>
      <c r="G55" s="5">
        <v>175</v>
      </c>
      <c r="H55" s="6">
        <v>4.2599999999999999E-2</v>
      </c>
      <c r="I55" s="7">
        <f t="shared" si="1"/>
        <v>7.4550000000000001</v>
      </c>
    </row>
    <row r="56" spans="1:9" x14ac:dyDescent="0.35">
      <c r="A56" s="4">
        <v>905422</v>
      </c>
      <c r="B56" s="5" t="s">
        <v>84</v>
      </c>
      <c r="C56" s="5" t="s">
        <v>85</v>
      </c>
      <c r="D56" s="5" t="s">
        <v>23</v>
      </c>
      <c r="E56" s="5">
        <v>28</v>
      </c>
      <c r="F56" s="5">
        <v>10</v>
      </c>
      <c r="G56" s="5">
        <v>280</v>
      </c>
      <c r="H56" s="6">
        <v>4.1999999999999996E-2</v>
      </c>
      <c r="I56" s="7">
        <f t="shared" si="1"/>
        <v>11.759999999999998</v>
      </c>
    </row>
    <row r="57" spans="1:9" x14ac:dyDescent="0.35">
      <c r="A57" s="4">
        <v>905411</v>
      </c>
      <c r="B57" s="5" t="s">
        <v>86</v>
      </c>
      <c r="C57" s="5" t="s">
        <v>85</v>
      </c>
      <c r="D57" s="5" t="s">
        <v>23</v>
      </c>
      <c r="E57" s="5">
        <v>18</v>
      </c>
      <c r="F57" s="5">
        <v>7</v>
      </c>
      <c r="G57" s="5">
        <v>126</v>
      </c>
      <c r="H57" s="6">
        <v>4.2599999999999999E-2</v>
      </c>
      <c r="I57" s="7">
        <f t="shared" si="1"/>
        <v>5.3675999999999995</v>
      </c>
    </row>
    <row r="58" spans="1:9" x14ac:dyDescent="0.35">
      <c r="A58" s="4">
        <v>904782</v>
      </c>
      <c r="B58" s="5" t="s">
        <v>87</v>
      </c>
      <c r="C58" s="5" t="s">
        <v>85</v>
      </c>
      <c r="D58" s="5" t="s">
        <v>23</v>
      </c>
      <c r="E58" s="5">
        <v>28</v>
      </c>
      <c r="F58" s="5">
        <v>10</v>
      </c>
      <c r="G58" s="5">
        <v>280</v>
      </c>
      <c r="H58" s="6">
        <v>4.1999999999999996E-2</v>
      </c>
      <c r="I58" s="7">
        <f t="shared" si="1"/>
        <v>11.759999999999998</v>
      </c>
    </row>
    <row r="59" spans="1:9" x14ac:dyDescent="0.35">
      <c r="A59" s="4">
        <v>903901</v>
      </c>
      <c r="B59" s="5" t="s">
        <v>88</v>
      </c>
      <c r="C59" s="5" t="s">
        <v>85</v>
      </c>
      <c r="D59" s="5" t="s">
        <v>23</v>
      </c>
      <c r="E59" s="5">
        <v>18</v>
      </c>
      <c r="F59" s="5">
        <v>7</v>
      </c>
      <c r="G59" s="5">
        <v>126</v>
      </c>
      <c r="H59" s="6">
        <v>4.2599999999999999E-2</v>
      </c>
      <c r="I59" s="7">
        <f t="shared" si="1"/>
        <v>5.3675999999999995</v>
      </c>
    </row>
    <row r="60" spans="1:9" x14ac:dyDescent="0.35">
      <c r="A60" s="4">
        <v>674964</v>
      </c>
      <c r="B60" s="5" t="s">
        <v>89</v>
      </c>
      <c r="C60" s="5" t="s">
        <v>90</v>
      </c>
      <c r="D60" s="5" t="s">
        <v>40</v>
      </c>
      <c r="E60" s="5">
        <v>52</v>
      </c>
      <c r="F60" s="5">
        <v>10</v>
      </c>
      <c r="G60" s="5">
        <v>520</v>
      </c>
      <c r="H60" s="6"/>
      <c r="I60" s="7" t="s">
        <v>109</v>
      </c>
    </row>
    <row r="61" spans="1:9" x14ac:dyDescent="0.35">
      <c r="A61" s="4">
        <v>674965</v>
      </c>
      <c r="B61" s="5" t="s">
        <v>91</v>
      </c>
      <c r="C61" s="5" t="s">
        <v>90</v>
      </c>
      <c r="D61" s="5" t="s">
        <v>40</v>
      </c>
      <c r="E61" s="5">
        <v>52</v>
      </c>
      <c r="F61" s="5">
        <v>10</v>
      </c>
      <c r="G61" s="5">
        <v>520</v>
      </c>
      <c r="H61" s="6"/>
      <c r="I61" s="7" t="s">
        <v>109</v>
      </c>
    </row>
    <row r="62" spans="1:9" x14ac:dyDescent="0.35">
      <c r="A62" s="4">
        <v>674963</v>
      </c>
      <c r="B62" s="5" t="s">
        <v>92</v>
      </c>
      <c r="C62" s="5" t="s">
        <v>90</v>
      </c>
      <c r="D62" s="5" t="s">
        <v>40</v>
      </c>
      <c r="E62" s="5">
        <v>52</v>
      </c>
      <c r="F62" s="5">
        <v>10</v>
      </c>
      <c r="G62" s="5">
        <v>520</v>
      </c>
      <c r="H62" s="6"/>
      <c r="I62" s="7" t="s">
        <v>109</v>
      </c>
    </row>
    <row r="63" spans="1:9" x14ac:dyDescent="0.35">
      <c r="A63" s="4" t="s">
        <v>93</v>
      </c>
      <c r="B63" s="5" t="s">
        <v>94</v>
      </c>
      <c r="C63" s="5" t="s">
        <v>90</v>
      </c>
      <c r="D63" s="5" t="s">
        <v>40</v>
      </c>
      <c r="E63" s="5">
        <v>13</v>
      </c>
      <c r="F63" s="5">
        <v>10</v>
      </c>
      <c r="G63" s="5">
        <v>130</v>
      </c>
      <c r="H63" s="6"/>
      <c r="I63" s="7">
        <v>10.92</v>
      </c>
    </row>
    <row r="64" spans="1:9" x14ac:dyDescent="0.35">
      <c r="A64" s="4" t="s">
        <v>95</v>
      </c>
      <c r="B64" s="5" t="s">
        <v>96</v>
      </c>
      <c r="C64" s="5" t="s">
        <v>90</v>
      </c>
      <c r="D64" s="5" t="s">
        <v>40</v>
      </c>
      <c r="E64" s="5">
        <v>13</v>
      </c>
      <c r="F64" s="5">
        <v>10</v>
      </c>
      <c r="G64" s="5">
        <v>130</v>
      </c>
      <c r="H64" s="6"/>
      <c r="I64" s="7">
        <v>10.92</v>
      </c>
    </row>
    <row r="65" spans="1:9" x14ac:dyDescent="0.35">
      <c r="A65" s="4" t="s">
        <v>97</v>
      </c>
      <c r="B65" s="5" t="s">
        <v>98</v>
      </c>
      <c r="C65" s="5" t="s">
        <v>99</v>
      </c>
      <c r="D65" s="5" t="s">
        <v>69</v>
      </c>
      <c r="E65" s="5">
        <v>28</v>
      </c>
      <c r="F65" s="5">
        <v>13</v>
      </c>
      <c r="G65" s="5">
        <v>364</v>
      </c>
      <c r="H65" s="6">
        <v>0.03</v>
      </c>
      <c r="I65" s="7">
        <v>11.75</v>
      </c>
    </row>
    <row r="66" spans="1:9" x14ac:dyDescent="0.35">
      <c r="A66" s="4">
        <v>634958</v>
      </c>
      <c r="B66" s="5" t="s">
        <v>100</v>
      </c>
      <c r="C66" s="5" t="s">
        <v>99</v>
      </c>
      <c r="D66" s="5" t="s">
        <v>23</v>
      </c>
      <c r="E66" s="5">
        <v>12</v>
      </c>
      <c r="F66" s="5">
        <v>7</v>
      </c>
      <c r="G66" s="5">
        <v>84</v>
      </c>
      <c r="H66" s="6"/>
      <c r="I66" s="7">
        <v>7.15</v>
      </c>
    </row>
    <row r="67" spans="1:9" x14ac:dyDescent="0.35">
      <c r="A67" s="4">
        <v>634957</v>
      </c>
      <c r="B67" s="5" t="s">
        <v>101</v>
      </c>
      <c r="C67" s="5" t="s">
        <v>99</v>
      </c>
      <c r="D67" s="5" t="s">
        <v>23</v>
      </c>
      <c r="E67" s="5">
        <v>15</v>
      </c>
      <c r="F67" s="5">
        <v>4</v>
      </c>
      <c r="G67" s="5">
        <v>60</v>
      </c>
      <c r="H67" s="6">
        <v>7.0000000000000007E-2</v>
      </c>
      <c r="I67" s="7">
        <v>4.32</v>
      </c>
    </row>
    <row r="68" spans="1:9" x14ac:dyDescent="0.35">
      <c r="A68" s="4">
        <v>902406</v>
      </c>
      <c r="B68" s="5" t="s">
        <v>102</v>
      </c>
      <c r="C68" s="5" t="s">
        <v>103</v>
      </c>
      <c r="D68" s="5" t="s">
        <v>104</v>
      </c>
      <c r="E68" s="5">
        <v>22</v>
      </c>
      <c r="F68" s="5">
        <v>13</v>
      </c>
      <c r="G68" s="5">
        <v>286</v>
      </c>
      <c r="H68" s="6">
        <v>4.1999999999999996E-2</v>
      </c>
      <c r="I68" s="7">
        <f>H68*G68</f>
        <v>12.011999999999999</v>
      </c>
    </row>
    <row r="69" spans="1:9" x14ac:dyDescent="0.35">
      <c r="A69" s="4">
        <v>905271</v>
      </c>
      <c r="B69" s="5" t="s">
        <v>105</v>
      </c>
      <c r="C69" s="5" t="s">
        <v>106</v>
      </c>
      <c r="D69" s="5" t="s">
        <v>69</v>
      </c>
      <c r="E69" s="5">
        <v>13</v>
      </c>
      <c r="F69" s="5">
        <v>7</v>
      </c>
      <c r="G69" s="5">
        <v>91</v>
      </c>
      <c r="H69" s="6">
        <v>7.9199999999999993E-2</v>
      </c>
      <c r="I69" s="7">
        <f>H69*G69</f>
        <v>7.2071999999999994</v>
      </c>
    </row>
    <row r="70" spans="1:9" x14ac:dyDescent="0.35">
      <c r="A70" s="4">
        <v>904701</v>
      </c>
      <c r="B70" s="5" t="s">
        <v>107</v>
      </c>
      <c r="C70" s="5" t="s">
        <v>106</v>
      </c>
      <c r="D70" s="5" t="s">
        <v>69</v>
      </c>
      <c r="E70" s="5">
        <v>13</v>
      </c>
      <c r="F70" s="5">
        <v>7</v>
      </c>
      <c r="G70" s="5">
        <v>91</v>
      </c>
      <c r="H70" s="6">
        <v>7.9199999999999993E-2</v>
      </c>
      <c r="I70" s="7">
        <f>H70*G70</f>
        <v>7.2071999999999994</v>
      </c>
    </row>
    <row r="71" spans="1:9" ht="15" thickBot="1" x14ac:dyDescent="0.4">
      <c r="A71" s="9">
        <v>905441</v>
      </c>
      <c r="B71" s="10" t="s">
        <v>108</v>
      </c>
      <c r="C71" s="10" t="s">
        <v>106</v>
      </c>
      <c r="D71" s="10" t="s">
        <v>69</v>
      </c>
      <c r="E71" s="10">
        <v>28</v>
      </c>
      <c r="F71" s="10">
        <v>10</v>
      </c>
      <c r="G71" s="10">
        <v>280</v>
      </c>
      <c r="H71" s="11">
        <v>4.1999999999999996E-2</v>
      </c>
      <c r="I71" s="12">
        <v>11.759999999999998</v>
      </c>
    </row>
    <row r="72" spans="1:9" x14ac:dyDescent="0.35">
      <c r="I72" s="13"/>
    </row>
    <row r="73" spans="1:9" x14ac:dyDescent="0.35">
      <c r="I73" s="13"/>
    </row>
    <row r="74" spans="1:9" x14ac:dyDescent="0.35">
      <c r="I74" s="13"/>
    </row>
    <row r="75" spans="1:9" x14ac:dyDescent="0.35">
      <c r="I75" s="13"/>
    </row>
    <row r="76" spans="1:9" x14ac:dyDescent="0.35">
      <c r="I76" s="13"/>
    </row>
    <row r="77" spans="1:9" x14ac:dyDescent="0.35">
      <c r="I77" s="13"/>
    </row>
    <row r="78" spans="1:9" x14ac:dyDescent="0.35">
      <c r="I78" s="13"/>
    </row>
    <row r="79" spans="1:9" x14ac:dyDescent="0.35">
      <c r="I79" s="13"/>
    </row>
    <row r="80" spans="1:9" x14ac:dyDescent="0.35">
      <c r="I80" s="13"/>
    </row>
    <row r="81" spans="9:9" x14ac:dyDescent="0.35">
      <c r="I81" s="13"/>
    </row>
    <row r="82" spans="9:9" x14ac:dyDescent="0.35">
      <c r="I82" s="13"/>
    </row>
    <row r="83" spans="9:9" x14ac:dyDescent="0.35">
      <c r="I83" s="13"/>
    </row>
    <row r="84" spans="9:9" x14ac:dyDescent="0.35">
      <c r="I84" s="13"/>
    </row>
  </sheetData>
  <conditionalFormatting sqref="A1:A71">
    <cfRule type="duplicateValues" dxfId="1" priority="1"/>
  </conditionalFormatting>
  <conditionalFormatting sqref="A2:A71">
    <cfRule type="duplicateValues" dxfId="0" priority="2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Fabiana Carla Bollis</dc:creator>
  <cp:lastModifiedBy>Fabiana Carla Bollis</cp:lastModifiedBy>
  <dcterms:created xsi:type="dcterms:W3CDTF">2025-12-18T13:59:00Z</dcterms:created>
  <dcterms:modified xsi:type="dcterms:W3CDTF">2025-12-18T14:22:40Z</dcterms:modified>
</cp:coreProperties>
</file>