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iway-my.sharepoint.com/personal/rochas04_heiway_net/Documents/BKP/AA - Propostas( FNP) &amp; Fechamentos/10 Outubro'25/Cliente Assai/"/>
    </mc:Choice>
  </mc:AlternateContent>
  <xr:revisionPtr revIDLastSave="0" documentId="8_{5E5B9A70-9186-4DEC-A92A-767B2E9C9F68}" xr6:coauthVersionLast="47" xr6:coauthVersionMax="47" xr10:uidLastSave="{00000000-0000-0000-0000-000000000000}"/>
  <bookViews>
    <workbookView xWindow="-120" yWindow="-120" windowWidth="20730" windowHeight="11040" tabRatio="866" firstSheet="2" activeTab="2" xr2:uid="{10723E2E-746A-4049-A5FC-7852C7CF4C9E}"/>
  </bookViews>
  <sheets>
    <sheet name="Fábricas" sheetId="49" state="hidden" r:id="rId1"/>
    <sheet name="Proposta Assaí Outubro'25" sheetId="41" r:id="rId2"/>
    <sheet name="Contra Assaí Ultimo Tri" sheetId="50" r:id="rId3"/>
    <sheet name="Planilha4" sheetId="51" r:id="rId4"/>
    <sheet name="Proposta Final Assaí Ultimo Tri" sheetId="52" r:id="rId5"/>
    <sheet name="Proposta Final Assaí Fechada" sheetId="53" r:id="rId6"/>
    <sheet name="Fechamento Outubro'25 Nab" sheetId="54" r:id="rId7"/>
    <sheet name="Planilha3" sheetId="44" state="hidden" r:id="rId8"/>
    <sheet name="Planilha2" sheetId="43" state="hidden" r:id="rId9"/>
    <sheet name="Planilha1" sheetId="42" state="hidden" r:id="rId10"/>
  </sheets>
  <externalReferences>
    <externalReference r:id="rId11"/>
    <externalReference r:id="rId12"/>
  </externalReferences>
  <definedNames>
    <definedName name="_xlnm._FilterDatabase" localSheetId="2" hidden="1">'Contra Assaí Ultimo Tri'!$4:$49</definedName>
    <definedName name="_xlnm._FilterDatabase" localSheetId="6" hidden="1">'Fechamento Outubro''25 Nab'!$4:$16</definedName>
    <definedName name="_xlnm._FilterDatabase" localSheetId="1" hidden="1">'Proposta Assaí Outubro''25'!$4:$59</definedName>
    <definedName name="_xlnm._FilterDatabase" localSheetId="5" hidden="1">'Proposta Final Assaí Fechada'!$4:$49</definedName>
    <definedName name="_xlnm._FilterDatabase" localSheetId="4" hidden="1">'Proposta Final Assaí Ultimo Tri'!$4:$49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4" l="1"/>
  <c r="L5" i="54" s="1"/>
  <c r="M5" i="54" s="1"/>
  <c r="C6" i="54"/>
  <c r="L6" i="54" s="1"/>
  <c r="XEN15" i="54"/>
  <c r="AY14" i="54"/>
  <c r="AT14" i="54"/>
  <c r="AU14" i="54" s="1"/>
  <c r="AD14" i="54"/>
  <c r="W14" i="54"/>
  <c r="AX14" i="54" s="1"/>
  <c r="AZ14" i="54" s="1"/>
  <c r="V14" i="54"/>
  <c r="U14" i="54"/>
  <c r="S14" i="54"/>
  <c r="Q14" i="54"/>
  <c r="P14" i="54"/>
  <c r="K14" i="54"/>
  <c r="C14" i="54"/>
  <c r="L14" i="54" s="1"/>
  <c r="A14" i="54"/>
  <c r="AY13" i="54"/>
  <c r="AU13" i="54"/>
  <c r="AT13" i="54"/>
  <c r="AD13" i="54"/>
  <c r="W13" i="54"/>
  <c r="V13" i="54"/>
  <c r="U13" i="54"/>
  <c r="S13" i="54"/>
  <c r="Q13" i="54"/>
  <c r="P13" i="54"/>
  <c r="K13" i="54"/>
  <c r="A13" i="54"/>
  <c r="AY12" i="54"/>
  <c r="AT12" i="54"/>
  <c r="AU12" i="54" s="1"/>
  <c r="AD12" i="54"/>
  <c r="W12" i="54"/>
  <c r="AX12" i="54" s="1"/>
  <c r="V12" i="54"/>
  <c r="U12" i="54"/>
  <c r="S12" i="54"/>
  <c r="Q12" i="54"/>
  <c r="P12" i="54"/>
  <c r="K12" i="54"/>
  <c r="A12" i="54"/>
  <c r="AY11" i="54"/>
  <c r="AX11" i="54"/>
  <c r="AZ11" i="54" s="1"/>
  <c r="AT11" i="54"/>
  <c r="AU11" i="54" s="1"/>
  <c r="AV11" i="54" s="1"/>
  <c r="AD11" i="54"/>
  <c r="U11" i="54"/>
  <c r="S11" i="54"/>
  <c r="Q11" i="54"/>
  <c r="P11" i="54"/>
  <c r="K11" i="54"/>
  <c r="A11" i="54"/>
  <c r="AY10" i="54"/>
  <c r="AT10" i="54"/>
  <c r="AU10" i="54" s="1"/>
  <c r="AD10" i="54"/>
  <c r="W10" i="54"/>
  <c r="AX10" i="54" s="1"/>
  <c r="AZ10" i="54" s="1"/>
  <c r="V10" i="54"/>
  <c r="U10" i="54"/>
  <c r="S10" i="54"/>
  <c r="Q10" i="54"/>
  <c r="P10" i="54"/>
  <c r="K10" i="54"/>
  <c r="A10" i="54"/>
  <c r="AY9" i="54"/>
  <c r="AT9" i="54"/>
  <c r="AU9" i="54" s="1"/>
  <c r="AD9" i="54"/>
  <c r="W9" i="54"/>
  <c r="V9" i="54"/>
  <c r="U9" i="54"/>
  <c r="S9" i="54"/>
  <c r="Q9" i="54"/>
  <c r="P9" i="54"/>
  <c r="K9" i="54"/>
  <c r="A9" i="54"/>
  <c r="AY8" i="54"/>
  <c r="AX8" i="54"/>
  <c r="AT8" i="54"/>
  <c r="AU8" i="54" s="1"/>
  <c r="AV8" i="54" s="1"/>
  <c r="AD8" i="54"/>
  <c r="U8" i="54"/>
  <c r="S8" i="54"/>
  <c r="Q8" i="54"/>
  <c r="P8" i="54"/>
  <c r="K8" i="54"/>
  <c r="A8" i="54"/>
  <c r="AY7" i="54"/>
  <c r="AT7" i="54"/>
  <c r="AU7" i="54" s="1"/>
  <c r="AD7" i="54"/>
  <c r="W7" i="54"/>
  <c r="AX7" i="54" s="1"/>
  <c r="AZ7" i="54" s="1"/>
  <c r="V7" i="54"/>
  <c r="U7" i="54"/>
  <c r="S7" i="54"/>
  <c r="Q7" i="54"/>
  <c r="P7" i="54"/>
  <c r="K7" i="54"/>
  <c r="A7" i="54"/>
  <c r="AZ6" i="54"/>
  <c r="AY6" i="54"/>
  <c r="AX6" i="54"/>
  <c r="AT6" i="54"/>
  <c r="AU6" i="54" s="1"/>
  <c r="AV6" i="54" s="1"/>
  <c r="AD6" i="54"/>
  <c r="U6" i="54"/>
  <c r="S6" i="54"/>
  <c r="Q6" i="54"/>
  <c r="P6" i="54"/>
  <c r="K6" i="54"/>
  <c r="B3" i="54"/>
  <c r="A6" i="54"/>
  <c r="AY5" i="54"/>
  <c r="AT5" i="54"/>
  <c r="AU5" i="54" s="1"/>
  <c r="AD5" i="54"/>
  <c r="W5" i="54"/>
  <c r="AX5" i="54" s="1"/>
  <c r="V5" i="54"/>
  <c r="U5" i="54"/>
  <c r="S5" i="54"/>
  <c r="Q5" i="54"/>
  <c r="P5" i="54"/>
  <c r="K5" i="54"/>
  <c r="A5" i="54"/>
  <c r="AA7" i="41"/>
  <c r="AB7" i="50"/>
  <c r="AB7" i="52"/>
  <c r="AB7" i="53"/>
  <c r="L28" i="53"/>
  <c r="L27" i="53"/>
  <c r="L26" i="53"/>
  <c r="AA50" i="53"/>
  <c r="XEO48" i="53"/>
  <c r="AZ47" i="53"/>
  <c r="AV47" i="53"/>
  <c r="AU47" i="53"/>
  <c r="AP47" i="53"/>
  <c r="AO47" i="53"/>
  <c r="AJ47" i="53"/>
  <c r="AR47" i="53" s="1"/>
  <c r="AI47" i="53"/>
  <c r="AQ47" i="53" s="1"/>
  <c r="AT47" i="53" s="1"/>
  <c r="AE47" i="53"/>
  <c r="AB47" i="53"/>
  <c r="AL47" i="53" s="1"/>
  <c r="AM47" i="53" s="1"/>
  <c r="AA47" i="53"/>
  <c r="X47" i="53"/>
  <c r="AY47" i="53" s="1"/>
  <c r="BA47" i="53" s="1"/>
  <c r="W47" i="53"/>
  <c r="U47" i="53"/>
  <c r="S47" i="53"/>
  <c r="Q47" i="53"/>
  <c r="Z47" i="53" s="1"/>
  <c r="AS47" i="53" s="1"/>
  <c r="P47" i="53"/>
  <c r="N47" i="53"/>
  <c r="M47" i="53"/>
  <c r="K47" i="53"/>
  <c r="B47" i="53"/>
  <c r="C47" i="53" s="1"/>
  <c r="AZ46" i="53"/>
  <c r="AU46" i="53"/>
  <c r="AV46" i="53" s="1"/>
  <c r="AO46" i="53"/>
  <c r="AP46" i="53" s="1"/>
  <c r="AE46" i="53"/>
  <c r="AB46" i="53"/>
  <c r="AL46" i="53" s="1"/>
  <c r="AM46" i="53" s="1"/>
  <c r="AA46" i="53"/>
  <c r="X46" i="53"/>
  <c r="AY46" i="53" s="1"/>
  <c r="BA46" i="53" s="1"/>
  <c r="W46" i="53"/>
  <c r="U46" i="53"/>
  <c r="S46" i="53"/>
  <c r="Q46" i="53"/>
  <c r="Z46" i="53" s="1"/>
  <c r="AS46" i="53" s="1"/>
  <c r="P46" i="53"/>
  <c r="N46" i="53"/>
  <c r="M46" i="53"/>
  <c r="K46" i="53"/>
  <c r="B46" i="53"/>
  <c r="C46" i="53" s="1"/>
  <c r="AZ45" i="53"/>
  <c r="AY45" i="53"/>
  <c r="BA45" i="53" s="1"/>
  <c r="AU45" i="53"/>
  <c r="AV45" i="53" s="1"/>
  <c r="AW45" i="53" s="1"/>
  <c r="AO45" i="53"/>
  <c r="AP45" i="53" s="1"/>
  <c r="AE45" i="53"/>
  <c r="AB45" i="53"/>
  <c r="AL45" i="53" s="1"/>
  <c r="AM45" i="53" s="1"/>
  <c r="AA45" i="53"/>
  <c r="U45" i="53"/>
  <c r="S45" i="53"/>
  <c r="Z45" i="53" s="1"/>
  <c r="AS45" i="53" s="1"/>
  <c r="Q45" i="53"/>
  <c r="P45" i="53"/>
  <c r="N45" i="53"/>
  <c r="M45" i="53"/>
  <c r="K45" i="53"/>
  <c r="C45" i="53"/>
  <c r="B45" i="53"/>
  <c r="AZ44" i="53"/>
  <c r="BA44" i="53" s="1"/>
  <c r="AY44" i="53"/>
  <c r="AV44" i="53"/>
  <c r="AW44" i="53" s="1"/>
  <c r="AU44" i="53"/>
  <c r="AL44" i="53"/>
  <c r="AM44" i="53" s="1"/>
  <c r="AE44" i="53"/>
  <c r="AB44" i="53"/>
  <c r="AA44" i="53"/>
  <c r="U44" i="53"/>
  <c r="S44" i="53"/>
  <c r="Q44" i="53"/>
  <c r="Z44" i="53" s="1"/>
  <c r="AS44" i="53" s="1"/>
  <c r="P44" i="53"/>
  <c r="M44" i="53"/>
  <c r="K44" i="53"/>
  <c r="N44" i="53" s="1"/>
  <c r="C44" i="53"/>
  <c r="AZ43" i="53"/>
  <c r="BA43" i="53" s="1"/>
  <c r="AY43" i="53"/>
  <c r="AV43" i="53"/>
  <c r="AW43" i="53" s="1"/>
  <c r="AU43" i="53"/>
  <c r="AL43" i="53"/>
  <c r="AM43" i="53" s="1"/>
  <c r="AE43" i="53"/>
  <c r="AB43" i="53"/>
  <c r="AA43" i="53"/>
  <c r="U43" i="53"/>
  <c r="S43" i="53"/>
  <c r="Q43" i="53"/>
  <c r="Z43" i="53" s="1"/>
  <c r="AS43" i="53" s="1"/>
  <c r="P43" i="53"/>
  <c r="M43" i="53"/>
  <c r="K43" i="53"/>
  <c r="N43" i="53" s="1"/>
  <c r="B43" i="53"/>
  <c r="C43" i="53" s="1"/>
  <c r="BA42" i="53"/>
  <c r="AZ42" i="53"/>
  <c r="AY42" i="53"/>
  <c r="AU42" i="53"/>
  <c r="AV42" i="53" s="1"/>
  <c r="AW42" i="53" s="1"/>
  <c r="AO42" i="53"/>
  <c r="AP42" i="53" s="1"/>
  <c r="AI42" i="53"/>
  <c r="AJ42" i="53" s="1"/>
  <c r="AE42" i="53"/>
  <c r="AB42" i="53"/>
  <c r="AL42" i="53" s="1"/>
  <c r="AM42" i="53" s="1"/>
  <c r="AA42" i="53"/>
  <c r="U42" i="53"/>
  <c r="S42" i="53"/>
  <c r="Q42" i="53"/>
  <c r="Z42" i="53" s="1"/>
  <c r="AS42" i="53" s="1"/>
  <c r="P42" i="53"/>
  <c r="M42" i="53"/>
  <c r="K42" i="53"/>
  <c r="N42" i="53" s="1"/>
  <c r="B42" i="53"/>
  <c r="C42" i="53" s="1"/>
  <c r="AZ41" i="53"/>
  <c r="AY41" i="53"/>
  <c r="BA41" i="53" s="1"/>
  <c r="AU41" i="53"/>
  <c r="AV41" i="53" s="1"/>
  <c r="AW41" i="53" s="1"/>
  <c r="AO41" i="53"/>
  <c r="AP41" i="53" s="1"/>
  <c r="AI41" i="53"/>
  <c r="AJ41" i="53" s="1"/>
  <c r="AE41" i="53"/>
  <c r="AB41" i="53"/>
  <c r="AL41" i="53" s="1"/>
  <c r="AM41" i="53" s="1"/>
  <c r="AA41" i="53"/>
  <c r="U41" i="53"/>
  <c r="S41" i="53"/>
  <c r="Z41" i="53" s="1"/>
  <c r="AS41" i="53" s="1"/>
  <c r="Q41" i="53"/>
  <c r="P41" i="53"/>
  <c r="M41" i="53"/>
  <c r="K41" i="53"/>
  <c r="N41" i="53" s="1"/>
  <c r="C41" i="53"/>
  <c r="B41" i="53"/>
  <c r="AZ40" i="53"/>
  <c r="AY40" i="53"/>
  <c r="BA40" i="53" s="1"/>
  <c r="AV40" i="53"/>
  <c r="AW40" i="53" s="1"/>
  <c r="AU40" i="53"/>
  <c r="AP40" i="53"/>
  <c r="AO40" i="53"/>
  <c r="AI40" i="53"/>
  <c r="AE40" i="53"/>
  <c r="AB40" i="53"/>
  <c r="AL40" i="53" s="1"/>
  <c r="AM40" i="53" s="1"/>
  <c r="AA40" i="53"/>
  <c r="Z40" i="53"/>
  <c r="AS40" i="53" s="1"/>
  <c r="U40" i="53"/>
  <c r="S40" i="53"/>
  <c r="Q40" i="53"/>
  <c r="P40" i="53"/>
  <c r="M40" i="53"/>
  <c r="K40" i="53"/>
  <c r="N40" i="53" s="1"/>
  <c r="C40" i="53"/>
  <c r="B40" i="53"/>
  <c r="AZ39" i="53"/>
  <c r="AV39" i="53"/>
  <c r="AU39" i="53"/>
  <c r="AP39" i="53"/>
  <c r="AO39" i="53"/>
  <c r="AI39" i="53"/>
  <c r="AJ39" i="53" s="1"/>
  <c r="AE39" i="53"/>
  <c r="AB39" i="53"/>
  <c r="AL39" i="53" s="1"/>
  <c r="AM39" i="53" s="1"/>
  <c r="AA39" i="53"/>
  <c r="Z39" i="53"/>
  <c r="AS39" i="53" s="1"/>
  <c r="X39" i="53"/>
  <c r="AY39" i="53" s="1"/>
  <c r="BA39" i="53" s="1"/>
  <c r="W39" i="53"/>
  <c r="U39" i="53"/>
  <c r="S39" i="53"/>
  <c r="Q39" i="53"/>
  <c r="P39" i="53"/>
  <c r="N39" i="53"/>
  <c r="M39" i="53"/>
  <c r="K39" i="53"/>
  <c r="B39" i="53"/>
  <c r="C39" i="53" s="1"/>
  <c r="AZ38" i="53"/>
  <c r="AU38" i="53"/>
  <c r="AV38" i="53" s="1"/>
  <c r="AL38" i="53"/>
  <c r="AM38" i="53" s="1"/>
  <c r="AE38" i="53"/>
  <c r="AB38" i="53"/>
  <c r="AI38" i="53" s="1"/>
  <c r="AA38" i="53"/>
  <c r="X38" i="53"/>
  <c r="AY38" i="53" s="1"/>
  <c r="W38" i="53"/>
  <c r="U38" i="53"/>
  <c r="S38" i="53"/>
  <c r="Q38" i="53"/>
  <c r="Z38" i="53" s="1"/>
  <c r="AS38" i="53" s="1"/>
  <c r="P38" i="53"/>
  <c r="M38" i="53"/>
  <c r="K38" i="53"/>
  <c r="N38" i="53" s="1"/>
  <c r="C38" i="53"/>
  <c r="B38" i="53"/>
  <c r="AZ37" i="53"/>
  <c r="AV37" i="53"/>
  <c r="AU37" i="53"/>
  <c r="AQ37" i="53"/>
  <c r="AO37" i="53"/>
  <c r="AP37" i="53" s="1"/>
  <c r="AJ37" i="53"/>
  <c r="AI37" i="53"/>
  <c r="AE37" i="53"/>
  <c r="AB37" i="53"/>
  <c r="AL37" i="53" s="1"/>
  <c r="AM37" i="53" s="1"/>
  <c r="AA37" i="53"/>
  <c r="Z37" i="53"/>
  <c r="AS37" i="53" s="1"/>
  <c r="X37" i="53"/>
  <c r="AY37" i="53" s="1"/>
  <c r="BA37" i="53" s="1"/>
  <c r="W37" i="53"/>
  <c r="U37" i="53"/>
  <c r="S37" i="53"/>
  <c r="Q37" i="53"/>
  <c r="P37" i="53"/>
  <c r="N37" i="53"/>
  <c r="M37" i="53"/>
  <c r="K37" i="53"/>
  <c r="B37" i="53"/>
  <c r="C37" i="53" s="1"/>
  <c r="AZ36" i="53"/>
  <c r="AU36" i="53"/>
  <c r="AV36" i="53" s="1"/>
  <c r="AE36" i="53"/>
  <c r="AB36" i="53"/>
  <c r="AA36" i="53"/>
  <c r="X36" i="53"/>
  <c r="AW36" i="53" s="1"/>
  <c r="W36" i="53"/>
  <c r="U36" i="53"/>
  <c r="S36" i="53"/>
  <c r="Q36" i="53"/>
  <c r="Z36" i="53" s="1"/>
  <c r="AS36" i="53" s="1"/>
  <c r="P36" i="53"/>
  <c r="M36" i="53"/>
  <c r="K36" i="53"/>
  <c r="N36" i="53" s="1"/>
  <c r="B36" i="53"/>
  <c r="C36" i="53" s="1"/>
  <c r="AZ35" i="53"/>
  <c r="AV35" i="53"/>
  <c r="AU35" i="53"/>
  <c r="AQ35" i="53"/>
  <c r="AO35" i="53"/>
  <c r="AP35" i="53" s="1"/>
  <c r="AJ35" i="53"/>
  <c r="AR35" i="53" s="1"/>
  <c r="AI35" i="53"/>
  <c r="AE35" i="53"/>
  <c r="AB35" i="53"/>
  <c r="AL35" i="53" s="1"/>
  <c r="AM35" i="53" s="1"/>
  <c r="AA35" i="53"/>
  <c r="X35" i="53"/>
  <c r="AW35" i="53" s="1"/>
  <c r="W35" i="53"/>
  <c r="U35" i="53"/>
  <c r="S35" i="53"/>
  <c r="Q35" i="53"/>
  <c r="Z35" i="53" s="1"/>
  <c r="AS35" i="53" s="1"/>
  <c r="P35" i="53"/>
  <c r="N35" i="53"/>
  <c r="M35" i="53"/>
  <c r="K35" i="53"/>
  <c r="B35" i="53"/>
  <c r="C35" i="53" s="1"/>
  <c r="AZ34" i="53"/>
  <c r="AU34" i="53"/>
  <c r="AV34" i="53" s="1"/>
  <c r="AJ34" i="53"/>
  <c r="AE34" i="53"/>
  <c r="AB34" i="53"/>
  <c r="AI34" i="53" s="1"/>
  <c r="AA34" i="53"/>
  <c r="X34" i="53"/>
  <c r="AW34" i="53" s="1"/>
  <c r="W34" i="53"/>
  <c r="U34" i="53"/>
  <c r="S34" i="53"/>
  <c r="Q34" i="53"/>
  <c r="Z34" i="53" s="1"/>
  <c r="AS34" i="53" s="1"/>
  <c r="P34" i="53"/>
  <c r="M34" i="53"/>
  <c r="K34" i="53"/>
  <c r="N34" i="53" s="1"/>
  <c r="B34" i="53"/>
  <c r="C34" i="53" s="1"/>
  <c r="AZ33" i="53"/>
  <c r="AV33" i="53"/>
  <c r="AU33" i="53"/>
  <c r="AQ33" i="53"/>
  <c r="AO33" i="53"/>
  <c r="AP33" i="53" s="1"/>
  <c r="AJ33" i="53"/>
  <c r="AI33" i="53"/>
  <c r="AE33" i="53"/>
  <c r="AB33" i="53"/>
  <c r="AL33" i="53" s="1"/>
  <c r="AM33" i="53" s="1"/>
  <c r="AA33" i="53"/>
  <c r="Z33" i="53"/>
  <c r="AS33" i="53" s="1"/>
  <c r="X33" i="53"/>
  <c r="AY33" i="53" s="1"/>
  <c r="BA33" i="53" s="1"/>
  <c r="W33" i="53"/>
  <c r="U33" i="53"/>
  <c r="S33" i="53"/>
  <c r="Q33" i="53"/>
  <c r="P33" i="53"/>
  <c r="N33" i="53"/>
  <c r="M33" i="53"/>
  <c r="K33" i="53"/>
  <c r="B33" i="53"/>
  <c r="C33" i="53" s="1"/>
  <c r="AZ32" i="53"/>
  <c r="AU32" i="53"/>
  <c r="AV32" i="53" s="1"/>
  <c r="AO32" i="53"/>
  <c r="AP32" i="53" s="1"/>
  <c r="AE32" i="53"/>
  <c r="AB32" i="53"/>
  <c r="AA32" i="53"/>
  <c r="X32" i="53"/>
  <c r="AW32" i="53" s="1"/>
  <c r="W32" i="53"/>
  <c r="U32" i="53"/>
  <c r="S32" i="53"/>
  <c r="Q32" i="53"/>
  <c r="Z32" i="53" s="1"/>
  <c r="AS32" i="53" s="1"/>
  <c r="P32" i="53"/>
  <c r="M32" i="53"/>
  <c r="K32" i="53"/>
  <c r="N32" i="53" s="1"/>
  <c r="B32" i="53"/>
  <c r="C32" i="53" s="1"/>
  <c r="AZ31" i="53"/>
  <c r="AV31" i="53"/>
  <c r="AU31" i="53"/>
  <c r="AQ31" i="53"/>
  <c r="AT31" i="53" s="1"/>
  <c r="AO31" i="53"/>
  <c r="AP31" i="53" s="1"/>
  <c r="AJ31" i="53"/>
  <c r="AR31" i="53" s="1"/>
  <c r="AI31" i="53"/>
  <c r="AE31" i="53"/>
  <c r="AB31" i="53"/>
  <c r="AL31" i="53" s="1"/>
  <c r="AM31" i="53" s="1"/>
  <c r="AA31" i="53"/>
  <c r="X31" i="53"/>
  <c r="AY31" i="53" s="1"/>
  <c r="BA31" i="53" s="1"/>
  <c r="W31" i="53"/>
  <c r="U31" i="53"/>
  <c r="S31" i="53"/>
  <c r="Q31" i="53"/>
  <c r="Z31" i="53" s="1"/>
  <c r="AS31" i="53" s="1"/>
  <c r="P31" i="53"/>
  <c r="M31" i="53"/>
  <c r="N31" i="53" s="1"/>
  <c r="K31" i="53"/>
  <c r="B31" i="53"/>
  <c r="C31" i="53" s="1"/>
  <c r="AZ30" i="53"/>
  <c r="AU30" i="53"/>
  <c r="AV30" i="53" s="1"/>
  <c r="AJ30" i="53"/>
  <c r="AE30" i="53"/>
  <c r="AB30" i="53"/>
  <c r="AI30" i="53" s="1"/>
  <c r="AA30" i="53"/>
  <c r="X30" i="53"/>
  <c r="AW30" i="53" s="1"/>
  <c r="W30" i="53"/>
  <c r="U30" i="53"/>
  <c r="S30" i="53"/>
  <c r="Q30" i="53"/>
  <c r="P30" i="53"/>
  <c r="M30" i="53"/>
  <c r="K30" i="53"/>
  <c r="N30" i="53" s="1"/>
  <c r="B30" i="53"/>
  <c r="C30" i="53" s="1"/>
  <c r="AZ29" i="53"/>
  <c r="AW29" i="53"/>
  <c r="AU29" i="53"/>
  <c r="AV29" i="53" s="1"/>
  <c r="AP29" i="53"/>
  <c r="AL29" i="53"/>
  <c r="AM29" i="53" s="1"/>
  <c r="AE29" i="53"/>
  <c r="AB29" i="53"/>
  <c r="AO29" i="53" s="1"/>
  <c r="AA29" i="53"/>
  <c r="Z29" i="53"/>
  <c r="X29" i="53"/>
  <c r="AY29" i="53" s="1"/>
  <c r="BA29" i="53" s="1"/>
  <c r="W29" i="53"/>
  <c r="U29" i="53"/>
  <c r="S29" i="53"/>
  <c r="Q29" i="53"/>
  <c r="P29" i="53"/>
  <c r="N29" i="53"/>
  <c r="M29" i="53"/>
  <c r="K29" i="53"/>
  <c r="B29" i="53"/>
  <c r="C29" i="53" s="1"/>
  <c r="BA28" i="53"/>
  <c r="AZ28" i="53"/>
  <c r="AY28" i="53"/>
  <c r="AV28" i="53"/>
  <c r="AW28" i="53" s="1"/>
  <c r="AU28" i="53"/>
  <c r="AE28" i="53"/>
  <c r="U28" i="53"/>
  <c r="S28" i="53"/>
  <c r="Q28" i="53"/>
  <c r="P28" i="53"/>
  <c r="K28" i="53"/>
  <c r="A28" i="53"/>
  <c r="C28" i="53" s="1"/>
  <c r="BA27" i="53"/>
  <c r="AZ27" i="53"/>
  <c r="AY27" i="53"/>
  <c r="AU27" i="53"/>
  <c r="AV27" i="53" s="1"/>
  <c r="AW27" i="53" s="1"/>
  <c r="AE27" i="53"/>
  <c r="U27" i="53"/>
  <c r="S27" i="53"/>
  <c r="Q27" i="53"/>
  <c r="P27" i="53"/>
  <c r="M27" i="53"/>
  <c r="K27" i="53"/>
  <c r="C27" i="53"/>
  <c r="A27" i="53"/>
  <c r="AZ26" i="53"/>
  <c r="AY26" i="53"/>
  <c r="BA26" i="53" s="1"/>
  <c r="AV26" i="53"/>
  <c r="AW26" i="53" s="1"/>
  <c r="AU26" i="53"/>
  <c r="AE26" i="53"/>
  <c r="AA26" i="53"/>
  <c r="U26" i="53"/>
  <c r="S26" i="53"/>
  <c r="Q26" i="53"/>
  <c r="P26" i="53"/>
  <c r="N26" i="53"/>
  <c r="Z26" i="53"/>
  <c r="AS26" i="53" s="1"/>
  <c r="K26" i="53"/>
  <c r="A26" i="53"/>
  <c r="C26" i="53" s="1"/>
  <c r="AZ25" i="53"/>
  <c r="AV25" i="53"/>
  <c r="AU25" i="53"/>
  <c r="AP25" i="53"/>
  <c r="AO25" i="53"/>
  <c r="AL25" i="53"/>
  <c r="AM25" i="53" s="1"/>
  <c r="AD25" i="53" s="1"/>
  <c r="AF25" i="53" s="1"/>
  <c r="AJ25" i="53"/>
  <c r="AE25" i="53"/>
  <c r="AB25" i="53"/>
  <c r="AI25" i="53" s="1"/>
  <c r="AA25" i="53"/>
  <c r="X25" i="53"/>
  <c r="W25" i="53"/>
  <c r="U25" i="53"/>
  <c r="S25" i="53"/>
  <c r="Q25" i="53"/>
  <c r="P25" i="53"/>
  <c r="N25" i="53"/>
  <c r="M25" i="53"/>
  <c r="K25" i="53"/>
  <c r="C25" i="53"/>
  <c r="B25" i="53"/>
  <c r="A25" i="53"/>
  <c r="BA24" i="53"/>
  <c r="AZ24" i="53"/>
  <c r="AY24" i="53"/>
  <c r="AW24" i="53"/>
  <c r="AV24" i="53"/>
  <c r="AU24" i="53"/>
  <c r="AE24" i="53"/>
  <c r="U24" i="53"/>
  <c r="S24" i="53"/>
  <c r="Q24" i="53"/>
  <c r="P24" i="53"/>
  <c r="L24" i="53"/>
  <c r="K24" i="53"/>
  <c r="C24" i="53"/>
  <c r="BA23" i="53"/>
  <c r="AZ23" i="53"/>
  <c r="AY23" i="53"/>
  <c r="AW23" i="53"/>
  <c r="AU23" i="53"/>
  <c r="AV23" i="53" s="1"/>
  <c r="AO23" i="53"/>
  <c r="AP23" i="53" s="1"/>
  <c r="AE23" i="53"/>
  <c r="U23" i="53"/>
  <c r="S23" i="53"/>
  <c r="Z23" i="53" s="1"/>
  <c r="AS23" i="53" s="1"/>
  <c r="Q23" i="53"/>
  <c r="P23" i="53"/>
  <c r="M23" i="53"/>
  <c r="K23" i="53"/>
  <c r="L23" i="53" s="1"/>
  <c r="AB23" i="53" s="1"/>
  <c r="C23" i="53"/>
  <c r="AZ22" i="53"/>
  <c r="AV22" i="53"/>
  <c r="AU22" i="53"/>
  <c r="AE22" i="53"/>
  <c r="AB22" i="53"/>
  <c r="AI22" i="53" s="1"/>
  <c r="AA22" i="53"/>
  <c r="X22" i="53"/>
  <c r="W22" i="53"/>
  <c r="U22" i="53"/>
  <c r="S22" i="53"/>
  <c r="Q22" i="53"/>
  <c r="Z22" i="53" s="1"/>
  <c r="AS22" i="53" s="1"/>
  <c r="P22" i="53"/>
  <c r="N22" i="53"/>
  <c r="M22" i="53"/>
  <c r="K22" i="53"/>
  <c r="B22" i="53"/>
  <c r="C22" i="53" s="1"/>
  <c r="AZ21" i="53"/>
  <c r="AY21" i="53"/>
  <c r="BA21" i="53" s="1"/>
  <c r="AU21" i="53"/>
  <c r="AV21" i="53" s="1"/>
  <c r="AM21" i="53"/>
  <c r="AL21" i="53"/>
  <c r="AJ21" i="53"/>
  <c r="AE21" i="53"/>
  <c r="AB21" i="53"/>
  <c r="AI21" i="53" s="1"/>
  <c r="AA21" i="53"/>
  <c r="X21" i="53"/>
  <c r="AW21" i="53" s="1"/>
  <c r="W21" i="53"/>
  <c r="U21" i="53"/>
  <c r="S21" i="53"/>
  <c r="Q21" i="53"/>
  <c r="P21" i="53"/>
  <c r="M21" i="53"/>
  <c r="K21" i="53"/>
  <c r="N21" i="53" s="1"/>
  <c r="B21" i="53"/>
  <c r="C21" i="53" s="1"/>
  <c r="AZ20" i="53"/>
  <c r="AY20" i="53"/>
  <c r="BA20" i="53" s="1"/>
  <c r="AW20" i="53"/>
  <c r="AV20" i="53"/>
  <c r="AU20" i="53"/>
  <c r="AR20" i="53"/>
  <c r="AP20" i="53"/>
  <c r="AO20" i="53"/>
  <c r="AJ20" i="53"/>
  <c r="AI20" i="53"/>
  <c r="AQ20" i="53" s="1"/>
  <c r="AT20" i="53" s="1"/>
  <c r="AE20" i="53"/>
  <c r="AB20" i="53"/>
  <c r="AL20" i="53" s="1"/>
  <c r="AM20" i="53" s="1"/>
  <c r="AA20" i="53"/>
  <c r="U20" i="53"/>
  <c r="S20" i="53"/>
  <c r="Z20" i="53" s="1"/>
  <c r="AS20" i="53" s="1"/>
  <c r="Q20" i="53"/>
  <c r="P20" i="53"/>
  <c r="N20" i="53"/>
  <c r="M20" i="53"/>
  <c r="K20" i="53"/>
  <c r="C20" i="53"/>
  <c r="B20" i="53"/>
  <c r="A20" i="53"/>
  <c r="AZ19" i="53"/>
  <c r="AU19" i="53"/>
  <c r="AV19" i="53" s="1"/>
  <c r="AJ19" i="53"/>
  <c r="AE19" i="53"/>
  <c r="AB19" i="53"/>
  <c r="AI19" i="53" s="1"/>
  <c r="AA19" i="53"/>
  <c r="X19" i="53"/>
  <c r="AW19" i="53" s="1"/>
  <c r="W19" i="53"/>
  <c r="U19" i="53"/>
  <c r="S19" i="53"/>
  <c r="Q19" i="53"/>
  <c r="P19" i="53"/>
  <c r="M19" i="53"/>
  <c r="K19" i="53"/>
  <c r="N19" i="53" s="1"/>
  <c r="C19" i="53"/>
  <c r="B19" i="53"/>
  <c r="AZ18" i="53"/>
  <c r="AV18" i="53"/>
  <c r="AU18" i="53"/>
  <c r="AJ18" i="53"/>
  <c r="AI18" i="53"/>
  <c r="AE18" i="53"/>
  <c r="AA18" i="53"/>
  <c r="X18" i="53"/>
  <c r="AW18" i="53" s="1"/>
  <c r="W18" i="53"/>
  <c r="U18" i="53"/>
  <c r="S18" i="53"/>
  <c r="Q18" i="53"/>
  <c r="P18" i="53"/>
  <c r="N18" i="53"/>
  <c r="M18" i="53"/>
  <c r="K18" i="53"/>
  <c r="L18" i="53" s="1"/>
  <c r="AB18" i="53" s="1"/>
  <c r="AL18" i="53" s="1"/>
  <c r="AM18" i="53" s="1"/>
  <c r="B18" i="53"/>
  <c r="C18" i="53" s="1"/>
  <c r="A18" i="53"/>
  <c r="AZ17" i="53"/>
  <c r="AU17" i="53"/>
  <c r="AV17" i="53" s="1"/>
  <c r="AP17" i="53"/>
  <c r="AO17" i="53"/>
  <c r="AI17" i="53"/>
  <c r="AJ17" i="53" s="1"/>
  <c r="AE17" i="53"/>
  <c r="AB17" i="53"/>
  <c r="AL17" i="53" s="1"/>
  <c r="AM17" i="53" s="1"/>
  <c r="AA17" i="53"/>
  <c r="Z17" i="53"/>
  <c r="AS17" i="53" s="1"/>
  <c r="X17" i="53"/>
  <c r="AY17" i="53" s="1"/>
  <c r="BA17" i="53" s="1"/>
  <c r="W17" i="53"/>
  <c r="U17" i="53"/>
  <c r="S17" i="53"/>
  <c r="Q17" i="53"/>
  <c r="P17" i="53"/>
  <c r="M17" i="53"/>
  <c r="K17" i="53"/>
  <c r="N17" i="53" s="1"/>
  <c r="B17" i="53"/>
  <c r="C17" i="53" s="1"/>
  <c r="AZ16" i="53"/>
  <c r="AU16" i="53"/>
  <c r="AV16" i="53" s="1"/>
  <c r="AE16" i="53"/>
  <c r="AB16" i="53"/>
  <c r="AO16" i="53" s="1"/>
  <c r="AP16" i="53" s="1"/>
  <c r="AA16" i="53"/>
  <c r="X16" i="53"/>
  <c r="AY16" i="53" s="1"/>
  <c r="BA16" i="53" s="1"/>
  <c r="W16" i="53"/>
  <c r="U16" i="53"/>
  <c r="S16" i="53"/>
  <c r="Q16" i="53"/>
  <c r="Z16" i="53" s="1"/>
  <c r="AS16" i="53" s="1"/>
  <c r="P16" i="53"/>
  <c r="M16" i="53"/>
  <c r="K16" i="53"/>
  <c r="N16" i="53" s="1"/>
  <c r="B16" i="53"/>
  <c r="C16" i="53" s="1"/>
  <c r="AZ15" i="53"/>
  <c r="AV15" i="53"/>
  <c r="AU15" i="53"/>
  <c r="AT15" i="53"/>
  <c r="AQ15" i="53"/>
  <c r="AP15" i="53"/>
  <c r="AO15" i="53"/>
  <c r="AM15" i="53"/>
  <c r="AD15" i="53" s="1"/>
  <c r="AF15" i="53" s="1"/>
  <c r="AI15" i="53"/>
  <c r="AJ15" i="53" s="1"/>
  <c r="AE15" i="53"/>
  <c r="AB15" i="53"/>
  <c r="AL15" i="53" s="1"/>
  <c r="AA15" i="53"/>
  <c r="Z15" i="53"/>
  <c r="AS15" i="53" s="1"/>
  <c r="X15" i="53"/>
  <c r="AY15" i="53" s="1"/>
  <c r="BA15" i="53" s="1"/>
  <c r="W15" i="53"/>
  <c r="U15" i="53"/>
  <c r="S15" i="53"/>
  <c r="Q15" i="53"/>
  <c r="P15" i="53"/>
  <c r="N15" i="53"/>
  <c r="M15" i="53"/>
  <c r="K15" i="53"/>
  <c r="B15" i="53"/>
  <c r="A15" i="53"/>
  <c r="AZ14" i="53"/>
  <c r="AY14" i="53"/>
  <c r="BA14" i="53" s="1"/>
  <c r="AU14" i="53"/>
  <c r="AV14" i="53" s="1"/>
  <c r="AW14" i="53" s="1"/>
  <c r="AE14" i="53"/>
  <c r="AB14" i="53"/>
  <c r="AI14" i="53" s="1"/>
  <c r="AJ14" i="53" s="1"/>
  <c r="AA14" i="53"/>
  <c r="U14" i="53"/>
  <c r="S14" i="53"/>
  <c r="Q14" i="53"/>
  <c r="Z14" i="53" s="1"/>
  <c r="AS14" i="53" s="1"/>
  <c r="P14" i="53"/>
  <c r="N14" i="53"/>
  <c r="M14" i="53"/>
  <c r="K14" i="53"/>
  <c r="B14" i="53"/>
  <c r="C14" i="53" s="1"/>
  <c r="AZ13" i="53"/>
  <c r="BA13" i="53" s="1"/>
  <c r="AY13" i="53"/>
  <c r="AV13" i="53"/>
  <c r="AW13" i="53" s="1"/>
  <c r="AU13" i="53"/>
  <c r="AE13" i="53"/>
  <c r="AB13" i="53"/>
  <c r="AI13" i="53" s="1"/>
  <c r="AA13" i="53"/>
  <c r="U13" i="53"/>
  <c r="S13" i="53"/>
  <c r="Q13" i="53"/>
  <c r="P13" i="53"/>
  <c r="M13" i="53"/>
  <c r="K13" i="53"/>
  <c r="N13" i="53" s="1"/>
  <c r="B13" i="53"/>
  <c r="C13" i="53" s="1"/>
  <c r="BA12" i="53"/>
  <c r="AZ12" i="53"/>
  <c r="AY12" i="53"/>
  <c r="AU12" i="53"/>
  <c r="AV12" i="53" s="1"/>
  <c r="AW12" i="53" s="1"/>
  <c r="AE12" i="53"/>
  <c r="U12" i="53"/>
  <c r="S12" i="53"/>
  <c r="Q12" i="53"/>
  <c r="P12" i="53"/>
  <c r="M12" i="53"/>
  <c r="L12" i="53"/>
  <c r="K12" i="53"/>
  <c r="C12" i="53"/>
  <c r="B12" i="53"/>
  <c r="AZ11" i="53"/>
  <c r="AY11" i="53"/>
  <c r="AW11" i="53"/>
  <c r="AV11" i="53"/>
  <c r="AU11" i="53"/>
  <c r="AE11" i="53"/>
  <c r="AB11" i="53"/>
  <c r="AO11" i="53" s="1"/>
  <c r="AP11" i="53" s="1"/>
  <c r="Z11" i="53"/>
  <c r="AS11" i="53" s="1"/>
  <c r="U11" i="53"/>
  <c r="S11" i="53"/>
  <c r="Q11" i="53"/>
  <c r="P11" i="53"/>
  <c r="M11" i="53"/>
  <c r="L11" i="53"/>
  <c r="AA11" i="53" s="1"/>
  <c r="K11" i="53"/>
  <c r="B11" i="53"/>
  <c r="C11" i="53" s="1"/>
  <c r="AZ10" i="53"/>
  <c r="AY10" i="53"/>
  <c r="BA10" i="53" s="1"/>
  <c r="AU10" i="53"/>
  <c r="AV10" i="53" s="1"/>
  <c r="AW10" i="53" s="1"/>
  <c r="AE10" i="53"/>
  <c r="U10" i="53"/>
  <c r="S10" i="53"/>
  <c r="Q10" i="53"/>
  <c r="P10" i="53"/>
  <c r="K10" i="53"/>
  <c r="L10" i="53" s="1"/>
  <c r="AB10" i="53" s="1"/>
  <c r="B10" i="53"/>
  <c r="C10" i="53" s="1"/>
  <c r="AZ9" i="53"/>
  <c r="AU9" i="53"/>
  <c r="AV9" i="53" s="1"/>
  <c r="AW9" i="53" s="1"/>
  <c r="AP9" i="53"/>
  <c r="AO9" i="53"/>
  <c r="AJ9" i="53"/>
  <c r="AD9" i="53" s="1"/>
  <c r="AF9" i="53" s="1"/>
  <c r="AI9" i="53"/>
  <c r="AQ9" i="53" s="1"/>
  <c r="AE9" i="53"/>
  <c r="AB9" i="53"/>
  <c r="AL9" i="53" s="1"/>
  <c r="AM9" i="53" s="1"/>
  <c r="AA9" i="53"/>
  <c r="X9" i="53"/>
  <c r="AY9" i="53" s="1"/>
  <c r="BA9" i="53" s="1"/>
  <c r="W9" i="53"/>
  <c r="U9" i="53"/>
  <c r="S9" i="53"/>
  <c r="Q9" i="53"/>
  <c r="Z9" i="53" s="1"/>
  <c r="AS9" i="53" s="1"/>
  <c r="P9" i="53"/>
  <c r="M9" i="53"/>
  <c r="K9" i="53"/>
  <c r="N9" i="53" s="1"/>
  <c r="B9" i="53"/>
  <c r="C9" i="53" s="1"/>
  <c r="A9" i="53"/>
  <c r="AZ8" i="53"/>
  <c r="AY8" i="53"/>
  <c r="BA8" i="53" s="1"/>
  <c r="AU8" i="53"/>
  <c r="AV8" i="53" s="1"/>
  <c r="AW8" i="53" s="1"/>
  <c r="AE8" i="53"/>
  <c r="AB8" i="53"/>
  <c r="AI8" i="53" s="1"/>
  <c r="AJ8" i="53" s="1"/>
  <c r="AA8" i="53"/>
  <c r="U8" i="53"/>
  <c r="S8" i="53"/>
  <c r="Q8" i="53"/>
  <c r="P8" i="53"/>
  <c r="N8" i="53"/>
  <c r="M8" i="53"/>
  <c r="L8" i="53"/>
  <c r="K8" i="53"/>
  <c r="B8" i="53"/>
  <c r="A8" i="53"/>
  <c r="C8" i="53" s="1"/>
  <c r="AZ7" i="53"/>
  <c r="AU7" i="53"/>
  <c r="AV7" i="53" s="1"/>
  <c r="AO7" i="53"/>
  <c r="AP7" i="53" s="1"/>
  <c r="AI7" i="53"/>
  <c r="AJ7" i="53" s="1"/>
  <c r="AE7" i="53"/>
  <c r="AL7" i="53"/>
  <c r="AA7" i="53"/>
  <c r="Z7" i="53"/>
  <c r="AS7" i="53" s="1"/>
  <c r="X7" i="53"/>
  <c r="AY7" i="53" s="1"/>
  <c r="BA7" i="53" s="1"/>
  <c r="W7" i="53"/>
  <c r="U7" i="53"/>
  <c r="S7" i="53"/>
  <c r="Q7" i="53"/>
  <c r="P7" i="53"/>
  <c r="N7" i="53"/>
  <c r="M7" i="53"/>
  <c r="K7" i="53"/>
  <c r="C7" i="53"/>
  <c r="B7" i="53"/>
  <c r="AZ6" i="53"/>
  <c r="AU6" i="53"/>
  <c r="AV6" i="53" s="1"/>
  <c r="AL6" i="53"/>
  <c r="AM6" i="53" s="1"/>
  <c r="AE6" i="53"/>
  <c r="AB6" i="53"/>
  <c r="AI6" i="53" s="1"/>
  <c r="AA6" i="53"/>
  <c r="X6" i="53"/>
  <c r="AY6" i="53" s="1"/>
  <c r="W6" i="53"/>
  <c r="U6" i="53"/>
  <c r="S6" i="53"/>
  <c r="Q6" i="53"/>
  <c r="Z6" i="53" s="1"/>
  <c r="AS6" i="53" s="1"/>
  <c r="P6" i="53"/>
  <c r="M6" i="53"/>
  <c r="K6" i="53"/>
  <c r="N6" i="53" s="1"/>
  <c r="C6" i="53"/>
  <c r="B6" i="53"/>
  <c r="AZ5" i="53"/>
  <c r="AV5" i="53"/>
  <c r="AU5" i="53"/>
  <c r="AE5" i="53"/>
  <c r="X5" i="53"/>
  <c r="BB5" i="53" s="1"/>
  <c r="W5" i="53"/>
  <c r="U5" i="53"/>
  <c r="S5" i="53"/>
  <c r="Q5" i="53"/>
  <c r="P5" i="53"/>
  <c r="K5" i="53"/>
  <c r="L5" i="53" s="1"/>
  <c r="B5" i="53"/>
  <c r="B3" i="53" s="1"/>
  <c r="L5" i="52"/>
  <c r="K24" i="52"/>
  <c r="K23" i="52"/>
  <c r="AZ9" i="52"/>
  <c r="AU9" i="52"/>
  <c r="AV9" i="52" s="1"/>
  <c r="AE9" i="52"/>
  <c r="Z9" i="52"/>
  <c r="AS9" i="52" s="1"/>
  <c r="X9" i="52"/>
  <c r="AW9" i="52" s="1"/>
  <c r="W9" i="52"/>
  <c r="U9" i="52"/>
  <c r="S9" i="52"/>
  <c r="Q9" i="52"/>
  <c r="P9" i="52"/>
  <c r="N9" i="52"/>
  <c r="M9" i="52"/>
  <c r="AB9" i="52"/>
  <c r="K9" i="52"/>
  <c r="B9" i="52"/>
  <c r="C9" i="52" s="1"/>
  <c r="A9" i="52"/>
  <c r="L23" i="52"/>
  <c r="AW17" i="53" l="1"/>
  <c r="AV5" i="54"/>
  <c r="AW31" i="53"/>
  <c r="AY5" i="53"/>
  <c r="BA5" i="53" s="1"/>
  <c r="BB6" i="53"/>
  <c r="AY35" i="53"/>
  <c r="BA35" i="53" s="1"/>
  <c r="AW39" i="53"/>
  <c r="AW5" i="53"/>
  <c r="AW16" i="53"/>
  <c r="BA6" i="53"/>
  <c r="AY19" i="53"/>
  <c r="BA19" i="53" s="1"/>
  <c r="AY34" i="53"/>
  <c r="BA34" i="53" s="1"/>
  <c r="AY18" i="53"/>
  <c r="BA18" i="53" s="1"/>
  <c r="AY32" i="53"/>
  <c r="BA32" i="53" s="1"/>
  <c r="BA38" i="53"/>
  <c r="BB19" i="53"/>
  <c r="AY36" i="53"/>
  <c r="AW6" i="53"/>
  <c r="AY30" i="53"/>
  <c r="BA30" i="53" s="1"/>
  <c r="M7" i="54"/>
  <c r="Z14" i="54"/>
  <c r="M14" i="54"/>
  <c r="N14" i="54" s="1"/>
  <c r="AV7" i="54"/>
  <c r="C7" i="54"/>
  <c r="L7" i="54" s="1"/>
  <c r="AA7" i="54" s="1"/>
  <c r="AK7" i="54" s="1"/>
  <c r="AL7" i="54" s="1"/>
  <c r="Z7" i="54"/>
  <c r="AV10" i="54"/>
  <c r="C12" i="54"/>
  <c r="L12" i="54" s="1"/>
  <c r="AA12" i="54" s="1"/>
  <c r="C13" i="54"/>
  <c r="L13" i="54" s="1"/>
  <c r="M13" i="54" s="1"/>
  <c r="Z5" i="54"/>
  <c r="AZ5" i="54"/>
  <c r="AH7" i="54"/>
  <c r="AI7" i="54" s="1"/>
  <c r="AQ7" i="54" s="1"/>
  <c r="AV9" i="54"/>
  <c r="C10" i="54"/>
  <c r="L10" i="54" s="1"/>
  <c r="Z10" i="54" s="1"/>
  <c r="AZ12" i="54"/>
  <c r="AA5" i="54"/>
  <c r="AH5" i="54" s="1"/>
  <c r="C8" i="54"/>
  <c r="L8" i="54" s="1"/>
  <c r="AZ8" i="54"/>
  <c r="C11" i="54"/>
  <c r="L11" i="54" s="1"/>
  <c r="Y11" i="54" s="1"/>
  <c r="AR11" i="54" s="1"/>
  <c r="Y13" i="54"/>
  <c r="AR13" i="54" s="1"/>
  <c r="AV13" i="54"/>
  <c r="Y5" i="54"/>
  <c r="C9" i="54"/>
  <c r="L9" i="54" s="1"/>
  <c r="N9" i="54" s="1"/>
  <c r="Z12" i="54"/>
  <c r="Z6" i="54"/>
  <c r="N6" i="54"/>
  <c r="AA6" i="54"/>
  <c r="Y6" i="54"/>
  <c r="AR6" i="54" s="1"/>
  <c r="AA9" i="54"/>
  <c r="N5" i="54"/>
  <c r="M6" i="54"/>
  <c r="Y8" i="54"/>
  <c r="AR8" i="54" s="1"/>
  <c r="AX9" i="54"/>
  <c r="AZ9" i="54" s="1"/>
  <c r="AV12" i="54"/>
  <c r="AX13" i="54"/>
  <c r="AZ13" i="54" s="1"/>
  <c r="AA14" i="54"/>
  <c r="AN7" i="54"/>
  <c r="AO7" i="54" s="1"/>
  <c r="M11" i="54"/>
  <c r="N13" i="54"/>
  <c r="Y14" i="54"/>
  <c r="AR14" i="54" s="1"/>
  <c r="AV14" i="54"/>
  <c r="N5" i="53"/>
  <c r="M5" i="53"/>
  <c r="AB5" i="53"/>
  <c r="Z5" i="53"/>
  <c r="AA5" i="53"/>
  <c r="AT9" i="53"/>
  <c r="AM7" i="53"/>
  <c r="AR7" i="53" s="1"/>
  <c r="AQ7" i="53"/>
  <c r="AT7" i="53" s="1"/>
  <c r="AI10" i="53"/>
  <c r="AL10" i="53"/>
  <c r="AM10" i="53" s="1"/>
  <c r="AO10" i="53"/>
  <c r="AP10" i="53" s="1"/>
  <c r="AQ18" i="53"/>
  <c r="AD7" i="53"/>
  <c r="AF7" i="53" s="1"/>
  <c r="AR14" i="53"/>
  <c r="AD14" i="53"/>
  <c r="AF14" i="53" s="1"/>
  <c r="AJ6" i="53"/>
  <c r="C5" i="53"/>
  <c r="AO6" i="53"/>
  <c r="AP6" i="53" s="1"/>
  <c r="AW7" i="53"/>
  <c r="AR17" i="53"/>
  <c r="AW25" i="53"/>
  <c r="AY25" i="53"/>
  <c r="BA25" i="53" s="1"/>
  <c r="AD37" i="53"/>
  <c r="AF37" i="53" s="1"/>
  <c r="AR37" i="53"/>
  <c r="N10" i="53"/>
  <c r="N11" i="53"/>
  <c r="AL11" i="53"/>
  <c r="AM11" i="53" s="1"/>
  <c r="AL13" i="53"/>
  <c r="AM13" i="53" s="1"/>
  <c r="C15" i="53"/>
  <c r="AW15" i="53"/>
  <c r="AI16" i="53"/>
  <c r="Z19" i="53"/>
  <c r="AS19" i="53" s="1"/>
  <c r="AO19" i="53"/>
  <c r="AP19" i="53" s="1"/>
  <c r="AD33" i="53"/>
  <c r="AF33" i="53" s="1"/>
  <c r="AR33" i="53"/>
  <c r="BA36" i="53"/>
  <c r="Z10" i="53"/>
  <c r="M10" i="53"/>
  <c r="AA10" i="53"/>
  <c r="AO22" i="53"/>
  <c r="AP22" i="53" s="1"/>
  <c r="Z8" i="53"/>
  <c r="AS8" i="53" s="1"/>
  <c r="AR9" i="53"/>
  <c r="AB12" i="53"/>
  <c r="AA12" i="53"/>
  <c r="N12" i="53"/>
  <c r="Z12" i="53"/>
  <c r="AS12" i="53" s="1"/>
  <c r="AL14" i="53"/>
  <c r="AM14" i="53" s="1"/>
  <c r="AD20" i="53"/>
  <c r="AF20" i="53" s="1"/>
  <c r="AI23" i="53"/>
  <c r="AL23" i="53"/>
  <c r="AM23" i="53" s="1"/>
  <c r="AB27" i="53"/>
  <c r="AA27" i="53"/>
  <c r="N27" i="53"/>
  <c r="Z27" i="53"/>
  <c r="AS27" i="53" s="1"/>
  <c r="AL8" i="53"/>
  <c r="AM8" i="53" s="1"/>
  <c r="AR8" i="53" s="1"/>
  <c r="BA11" i="53"/>
  <c r="AJ13" i="53"/>
  <c r="AO13" i="53"/>
  <c r="AP13" i="53" s="1"/>
  <c r="AL16" i="53"/>
  <c r="AM16" i="53" s="1"/>
  <c r="AD17" i="53"/>
  <c r="AF17" i="53" s="1"/>
  <c r="AJ22" i="53"/>
  <c r="AR30" i="53"/>
  <c r="AI36" i="53"/>
  <c r="AL36" i="53"/>
  <c r="AM36" i="53" s="1"/>
  <c r="AO14" i="53"/>
  <c r="AP14" i="53" s="1"/>
  <c r="AQ17" i="53"/>
  <c r="AT17" i="53" s="1"/>
  <c r="AD18" i="53"/>
  <c r="AF18" i="53" s="1"/>
  <c r="AW22" i="53"/>
  <c r="AY22" i="53"/>
  <c r="BA22" i="53" s="1"/>
  <c r="AL22" i="53"/>
  <c r="AM22" i="53" s="1"/>
  <c r="AA24" i="53"/>
  <c r="N24" i="53"/>
  <c r="Z24" i="53"/>
  <c r="AS24" i="53" s="1"/>
  <c r="AI32" i="53"/>
  <c r="AL32" i="53"/>
  <c r="AM32" i="53" s="1"/>
  <c r="AO8" i="53"/>
  <c r="AP8" i="53" s="1"/>
  <c r="AD8" i="53" s="1"/>
  <c r="AF8" i="53" s="1"/>
  <c r="AI11" i="53"/>
  <c r="Z13" i="53"/>
  <c r="AS13" i="53" s="1"/>
  <c r="AR15" i="53"/>
  <c r="Z18" i="53"/>
  <c r="AO18" i="53"/>
  <c r="AP18" i="53" s="1"/>
  <c r="AR18" i="53" s="1"/>
  <c r="AL19" i="53"/>
  <c r="AM19" i="53" s="1"/>
  <c r="AR19" i="53" s="1"/>
  <c r="Z21" i="53"/>
  <c r="AS21" i="53" s="1"/>
  <c r="AO21" i="53"/>
  <c r="AP21" i="53" s="1"/>
  <c r="M24" i="53"/>
  <c r="AB24" i="53"/>
  <c r="AR25" i="53"/>
  <c r="AT35" i="53"/>
  <c r="AO36" i="53"/>
  <c r="AP36" i="53" s="1"/>
  <c r="AR42" i="53"/>
  <c r="AD42" i="53"/>
  <c r="AF42" i="53" s="1"/>
  <c r="N23" i="53"/>
  <c r="AA23" i="53"/>
  <c r="AB26" i="53"/>
  <c r="AL30" i="53"/>
  <c r="AM30" i="53" s="1"/>
  <c r="AD30" i="53" s="1"/>
  <c r="AF30" i="53" s="1"/>
  <c r="AW33" i="53"/>
  <c r="AL34" i="53"/>
  <c r="AM34" i="53" s="1"/>
  <c r="AR34" i="53" s="1"/>
  <c r="AW37" i="53"/>
  <c r="AW38" i="53"/>
  <c r="Z25" i="53"/>
  <c r="AS25" i="53" s="1"/>
  <c r="AQ25" i="53"/>
  <c r="AI29" i="53"/>
  <c r="AO38" i="53"/>
  <c r="AP38" i="53" s="1"/>
  <c r="AQ39" i="53"/>
  <c r="AT39" i="53" s="1"/>
  <c r="AQ40" i="53"/>
  <c r="AT40" i="53" s="1"/>
  <c r="AD41" i="53"/>
  <c r="AF41" i="53" s="1"/>
  <c r="AR41" i="53"/>
  <c r="AI44" i="53"/>
  <c r="AO44" i="53"/>
  <c r="AP44" i="53" s="1"/>
  <c r="AS29" i="53"/>
  <c r="Z30" i="53"/>
  <c r="AS30" i="53" s="1"/>
  <c r="AO30" i="53"/>
  <c r="AP30" i="53" s="1"/>
  <c r="AD31" i="53"/>
  <c r="AF31" i="53" s="1"/>
  <c r="AT33" i="53"/>
  <c r="AO34" i="53"/>
  <c r="AP34" i="53" s="1"/>
  <c r="AD35" i="53"/>
  <c r="AF35" i="53" s="1"/>
  <c r="AT37" i="53"/>
  <c r="AJ38" i="53"/>
  <c r="Z28" i="53"/>
  <c r="AS28" i="53" s="1"/>
  <c r="M28" i="53"/>
  <c r="AA28" i="53"/>
  <c r="AI43" i="53"/>
  <c r="AO43" i="53"/>
  <c r="AP43" i="53" s="1"/>
  <c r="M26" i="53"/>
  <c r="N28" i="53"/>
  <c r="AB28" i="53"/>
  <c r="AR39" i="53"/>
  <c r="AD39" i="53"/>
  <c r="AF39" i="53" s="1"/>
  <c r="AJ40" i="53"/>
  <c r="AQ41" i="53"/>
  <c r="AT41" i="53" s="1"/>
  <c r="AI46" i="53"/>
  <c r="AW46" i="53"/>
  <c r="AD47" i="53"/>
  <c r="AF47" i="53" s="1"/>
  <c r="AQ42" i="53"/>
  <c r="AT42" i="53" s="1"/>
  <c r="AI45" i="53"/>
  <c r="AW47" i="53"/>
  <c r="AI9" i="52"/>
  <c r="AL9" i="52"/>
  <c r="AM9" i="52" s="1"/>
  <c r="AO9" i="52"/>
  <c r="AP9" i="52" s="1"/>
  <c r="AY9" i="52"/>
  <c r="BA9" i="52" s="1"/>
  <c r="AA9" i="52"/>
  <c r="L8" i="52"/>
  <c r="N7" i="54" l="1"/>
  <c r="N15" i="54" s="1"/>
  <c r="AA11" i="54"/>
  <c r="AH11" i="54" s="1"/>
  <c r="N11" i="54"/>
  <c r="M10" i="54"/>
  <c r="N12" i="54"/>
  <c r="M12" i="54"/>
  <c r="Y12" i="54"/>
  <c r="AR12" i="54" s="1"/>
  <c r="Y9" i="54"/>
  <c r="AR9" i="54" s="1"/>
  <c r="AA13" i="54"/>
  <c r="Z13" i="54"/>
  <c r="M9" i="54"/>
  <c r="Z8" i="54"/>
  <c r="Z15" i="54" s="1"/>
  <c r="AA8" i="54"/>
  <c r="N8" i="54"/>
  <c r="Z11" i="54"/>
  <c r="M8" i="54"/>
  <c r="Z9" i="54"/>
  <c r="Y10" i="54"/>
  <c r="AR10" i="54" s="1"/>
  <c r="AA10" i="54"/>
  <c r="AA15" i="54" s="1"/>
  <c r="N10" i="54"/>
  <c r="Y7" i="54"/>
  <c r="AR7" i="54" s="1"/>
  <c r="AC7" i="54"/>
  <c r="AE7" i="54" s="1"/>
  <c r="AP7" i="54"/>
  <c r="AS7" i="54" s="1"/>
  <c r="AN5" i="54"/>
  <c r="AO5" i="54" s="1"/>
  <c r="AK5" i="54"/>
  <c r="AL5" i="54" s="1"/>
  <c r="AH14" i="54"/>
  <c r="AN14" i="54"/>
  <c r="AO14" i="54" s="1"/>
  <c r="AK14" i="54"/>
  <c r="AL14" i="54" s="1"/>
  <c r="AH9" i="54"/>
  <c r="AN9" i="54"/>
  <c r="AO9" i="54" s="1"/>
  <c r="AK9" i="54"/>
  <c r="AL9" i="54" s="1"/>
  <c r="AN12" i="54"/>
  <c r="AO12" i="54" s="1"/>
  <c r="AK12" i="54"/>
  <c r="AL12" i="54" s="1"/>
  <c r="AH12" i="54"/>
  <c r="AR5" i="54"/>
  <c r="AK6" i="54"/>
  <c r="AL6" i="54" s="1"/>
  <c r="AN6" i="54"/>
  <c r="AO6" i="54" s="1"/>
  <c r="AH6" i="54"/>
  <c r="AH13" i="54"/>
  <c r="AN13" i="54"/>
  <c r="AO13" i="54" s="1"/>
  <c r="AK13" i="54"/>
  <c r="AL13" i="54" s="1"/>
  <c r="AI5" i="54"/>
  <c r="AR38" i="53"/>
  <c r="AD38" i="53"/>
  <c r="AF38" i="53" s="1"/>
  <c r="AQ32" i="53"/>
  <c r="AT32" i="53" s="1"/>
  <c r="AJ32" i="53"/>
  <c r="AJ43" i="53"/>
  <c r="AQ43" i="53"/>
  <c r="AT43" i="53" s="1"/>
  <c r="AJ44" i="53"/>
  <c r="AQ44" i="53"/>
  <c r="AT44" i="53" s="1"/>
  <c r="AJ29" i="53"/>
  <c r="AQ29" i="53"/>
  <c r="AT29" i="53" s="1"/>
  <c r="AR21" i="53"/>
  <c r="AD21" i="53"/>
  <c r="AF21" i="53" s="1"/>
  <c r="AQ36" i="53"/>
  <c r="AT36" i="53" s="1"/>
  <c r="AJ36" i="53"/>
  <c r="AL12" i="53"/>
  <c r="AM12" i="53" s="1"/>
  <c r="AO12" i="53"/>
  <c r="AP12" i="53" s="1"/>
  <c r="AI12" i="53"/>
  <c r="Z56" i="53"/>
  <c r="AS10" i="53"/>
  <c r="AQ10" i="53"/>
  <c r="AT10" i="53" s="1"/>
  <c r="AJ10" i="53"/>
  <c r="AA48" i="53"/>
  <c r="AQ45" i="53"/>
  <c r="AT45" i="53" s="1"/>
  <c r="AJ45" i="53"/>
  <c r="AD40" i="53"/>
  <c r="AF40" i="53" s="1"/>
  <c r="AR40" i="53"/>
  <c r="AS18" i="53"/>
  <c r="Z1" i="53"/>
  <c r="AJ23" i="53"/>
  <c r="AQ23" i="53"/>
  <c r="AT23" i="53" s="1"/>
  <c r="AQ30" i="53"/>
  <c r="AT30" i="53" s="1"/>
  <c r="AT25" i="53"/>
  <c r="AQ21" i="53"/>
  <c r="AT21" i="53" s="1"/>
  <c r="AQ13" i="53"/>
  <c r="AT13" i="53" s="1"/>
  <c r="AD19" i="53"/>
  <c r="AF19" i="53" s="1"/>
  <c r="AQ19" i="53"/>
  <c r="AT19" i="53" s="1"/>
  <c r="AQ6" i="53"/>
  <c r="AT6" i="53" s="1"/>
  <c r="Z57" i="53"/>
  <c r="Z48" i="53"/>
  <c r="AS5" i="53"/>
  <c r="AS48" i="53" s="1"/>
  <c r="Z3" i="53"/>
  <c r="AI28" i="53"/>
  <c r="AL28" i="53"/>
  <c r="AM28" i="53" s="1"/>
  <c r="AO28" i="53"/>
  <c r="AP28" i="53" s="1"/>
  <c r="AO26" i="53"/>
  <c r="AP26" i="53" s="1"/>
  <c r="AI26" i="53"/>
  <c r="AL26" i="53"/>
  <c r="AM26" i="53" s="1"/>
  <c r="AQ11" i="53"/>
  <c r="AT11" i="53" s="1"/>
  <c r="AJ11" i="53"/>
  <c r="AR13" i="53"/>
  <c r="AD13" i="53"/>
  <c r="AF13" i="53" s="1"/>
  <c r="AD34" i="53"/>
  <c r="AF34" i="53" s="1"/>
  <c r="AQ22" i="53"/>
  <c r="AT22" i="53" s="1"/>
  <c r="AR6" i="53"/>
  <c r="AD6" i="53"/>
  <c r="AF6" i="53" s="1"/>
  <c r="AB48" i="53"/>
  <c r="AL5" i="53"/>
  <c r="AO5" i="53"/>
  <c r="AB3" i="53"/>
  <c r="AI5" i="53"/>
  <c r="AR22" i="53"/>
  <c r="AD22" i="53"/>
  <c r="AF22" i="53" s="1"/>
  <c r="AQ16" i="53"/>
  <c r="AT16" i="53" s="1"/>
  <c r="AJ16" i="53"/>
  <c r="AT18" i="53"/>
  <c r="AJ46" i="53"/>
  <c r="AQ46" i="53"/>
  <c r="AT46" i="53" s="1"/>
  <c r="AQ34" i="53"/>
  <c r="AT34" i="53" s="1"/>
  <c r="AQ14" i="53"/>
  <c r="AT14" i="53" s="1"/>
  <c r="AL27" i="53"/>
  <c r="AM27" i="53" s="1"/>
  <c r="AI27" i="53"/>
  <c r="AO27" i="53"/>
  <c r="AP27" i="53" s="1"/>
  <c r="AQ38" i="53"/>
  <c r="AT38" i="53" s="1"/>
  <c r="Z55" i="53"/>
  <c r="AO24" i="53"/>
  <c r="AP24" i="53" s="1"/>
  <c r="AL24" i="53"/>
  <c r="AM24" i="53" s="1"/>
  <c r="AI24" i="53"/>
  <c r="AQ8" i="53"/>
  <c r="AT8" i="53" s="1"/>
  <c r="N48" i="53"/>
  <c r="AJ9" i="52"/>
  <c r="AQ9" i="52"/>
  <c r="AT9" i="52" s="1"/>
  <c r="AA50" i="52"/>
  <c r="XEO48" i="52"/>
  <c r="AZ47" i="52"/>
  <c r="AU47" i="52"/>
  <c r="AV47" i="52" s="1"/>
  <c r="AI47" i="52"/>
  <c r="AJ47" i="52" s="1"/>
  <c r="AE47" i="52"/>
  <c r="AB47" i="52"/>
  <c r="AL47" i="52" s="1"/>
  <c r="AM47" i="52" s="1"/>
  <c r="AA47" i="52"/>
  <c r="X47" i="52"/>
  <c r="AY47" i="52" s="1"/>
  <c r="BA47" i="52" s="1"/>
  <c r="W47" i="52"/>
  <c r="U47" i="52"/>
  <c r="S47" i="52"/>
  <c r="Z47" i="52" s="1"/>
  <c r="AS47" i="52" s="1"/>
  <c r="Q47" i="52"/>
  <c r="P47" i="52"/>
  <c r="M47" i="52"/>
  <c r="K47" i="52"/>
  <c r="N47" i="52" s="1"/>
  <c r="B47" i="52"/>
  <c r="C47" i="52" s="1"/>
  <c r="AZ46" i="52"/>
  <c r="AU46" i="52"/>
  <c r="AV46" i="52" s="1"/>
  <c r="AE46" i="52"/>
  <c r="AB46" i="52"/>
  <c r="AO46" i="52" s="1"/>
  <c r="AP46" i="52" s="1"/>
  <c r="AA46" i="52"/>
  <c r="X46" i="52"/>
  <c r="AY46" i="52" s="1"/>
  <c r="BA46" i="52" s="1"/>
  <c r="W46" i="52"/>
  <c r="U46" i="52"/>
  <c r="S46" i="52"/>
  <c r="Q46" i="52"/>
  <c r="Z46" i="52" s="1"/>
  <c r="AS46" i="52" s="1"/>
  <c r="P46" i="52"/>
  <c r="M46" i="52"/>
  <c r="K46" i="52"/>
  <c r="N46" i="52" s="1"/>
  <c r="B46" i="52"/>
  <c r="C46" i="52" s="1"/>
  <c r="AZ45" i="52"/>
  <c r="AY45" i="52"/>
  <c r="BA45" i="52" s="1"/>
  <c r="AU45" i="52"/>
  <c r="AV45" i="52" s="1"/>
  <c r="AW45" i="52" s="1"/>
  <c r="AE45" i="52"/>
  <c r="AB45" i="52"/>
  <c r="AI45" i="52" s="1"/>
  <c r="AA45" i="52"/>
  <c r="U45" i="52"/>
  <c r="S45" i="52"/>
  <c r="Q45" i="52"/>
  <c r="P45" i="52"/>
  <c r="M45" i="52"/>
  <c r="K45" i="52"/>
  <c r="N45" i="52" s="1"/>
  <c r="B45" i="52"/>
  <c r="C45" i="52" s="1"/>
  <c r="AZ44" i="52"/>
  <c r="AY44" i="52"/>
  <c r="AU44" i="52"/>
  <c r="AV44" i="52" s="1"/>
  <c r="AW44" i="52" s="1"/>
  <c r="AE44" i="52"/>
  <c r="AB44" i="52"/>
  <c r="AL44" i="52" s="1"/>
  <c r="AM44" i="52" s="1"/>
  <c r="AA44" i="52"/>
  <c r="Z44" i="52"/>
  <c r="AS44" i="52" s="1"/>
  <c r="U44" i="52"/>
  <c r="S44" i="52"/>
  <c r="Q44" i="52"/>
  <c r="P44" i="52"/>
  <c r="M44" i="52"/>
  <c r="K44" i="52"/>
  <c r="N44" i="52" s="1"/>
  <c r="C44" i="52"/>
  <c r="AZ43" i="52"/>
  <c r="AY43" i="52"/>
  <c r="AU43" i="52"/>
  <c r="AV43" i="52" s="1"/>
  <c r="AW43" i="52" s="1"/>
  <c r="AE43" i="52"/>
  <c r="AB43" i="52"/>
  <c r="AL43" i="52" s="1"/>
  <c r="AM43" i="52" s="1"/>
  <c r="AA43" i="52"/>
  <c r="U43" i="52"/>
  <c r="S43" i="52"/>
  <c r="Q43" i="52"/>
  <c r="P43" i="52"/>
  <c r="M43" i="52"/>
  <c r="K43" i="52"/>
  <c r="N43" i="52" s="1"/>
  <c r="B43" i="52"/>
  <c r="C43" i="52" s="1"/>
  <c r="AZ42" i="52"/>
  <c r="AY42" i="52"/>
  <c r="AU42" i="52"/>
  <c r="AV42" i="52" s="1"/>
  <c r="AW42" i="52" s="1"/>
  <c r="AO42" i="52"/>
  <c r="AP42" i="52" s="1"/>
  <c r="AI42" i="52"/>
  <c r="AJ42" i="52" s="1"/>
  <c r="AE42" i="52"/>
  <c r="AB42" i="52"/>
  <c r="AL42" i="52" s="1"/>
  <c r="AM42" i="52" s="1"/>
  <c r="AA42" i="52"/>
  <c r="U42" i="52"/>
  <c r="S42" i="52"/>
  <c r="Q42" i="52"/>
  <c r="P42" i="52"/>
  <c r="M42" i="52"/>
  <c r="K42" i="52"/>
  <c r="N42" i="52" s="1"/>
  <c r="B42" i="52"/>
  <c r="C42" i="52" s="1"/>
  <c r="AZ41" i="52"/>
  <c r="AY41" i="52"/>
  <c r="AU41" i="52"/>
  <c r="AV41" i="52" s="1"/>
  <c r="AW41" i="52" s="1"/>
  <c r="AE41" i="52"/>
  <c r="AB41" i="52"/>
  <c r="AL41" i="52" s="1"/>
  <c r="AM41" i="52" s="1"/>
  <c r="AA41" i="52"/>
  <c r="U41" i="52"/>
  <c r="S41" i="52"/>
  <c r="Q41" i="52"/>
  <c r="P41" i="52"/>
  <c r="M41" i="52"/>
  <c r="K41" i="52"/>
  <c r="N41" i="52" s="1"/>
  <c r="B41" i="52"/>
  <c r="C41" i="52" s="1"/>
  <c r="AZ40" i="52"/>
  <c r="AY40" i="52"/>
  <c r="AU40" i="52"/>
  <c r="AV40" i="52" s="1"/>
  <c r="AW40" i="52" s="1"/>
  <c r="AI40" i="52"/>
  <c r="AE40" i="52"/>
  <c r="AB40" i="52"/>
  <c r="AO40" i="52" s="1"/>
  <c r="AP40" i="52" s="1"/>
  <c r="AA40" i="52"/>
  <c r="U40" i="52"/>
  <c r="S40" i="52"/>
  <c r="Q40" i="52"/>
  <c r="P40" i="52"/>
  <c r="M40" i="52"/>
  <c r="K40" i="52"/>
  <c r="N40" i="52" s="1"/>
  <c r="B40" i="52"/>
  <c r="C40" i="52" s="1"/>
  <c r="AZ39" i="52"/>
  <c r="AU39" i="52"/>
  <c r="AV39" i="52" s="1"/>
  <c r="AE39" i="52"/>
  <c r="AB39" i="52"/>
  <c r="AL39" i="52" s="1"/>
  <c r="AM39" i="52" s="1"/>
  <c r="AA39" i="52"/>
  <c r="X39" i="52"/>
  <c r="AY39" i="52" s="1"/>
  <c r="W39" i="52"/>
  <c r="U39" i="52"/>
  <c r="S39" i="52"/>
  <c r="Q39" i="52"/>
  <c r="P39" i="52"/>
  <c r="M39" i="52"/>
  <c r="K39" i="52"/>
  <c r="N39" i="52" s="1"/>
  <c r="B39" i="52"/>
  <c r="C39" i="52" s="1"/>
  <c r="AZ38" i="52"/>
  <c r="AU38" i="52"/>
  <c r="AV38" i="52" s="1"/>
  <c r="AE38" i="52"/>
  <c r="AB38" i="52"/>
  <c r="AL38" i="52" s="1"/>
  <c r="AM38" i="52" s="1"/>
  <c r="AA38" i="52"/>
  <c r="X38" i="52"/>
  <c r="AY38" i="52" s="1"/>
  <c r="W38" i="52"/>
  <c r="U38" i="52"/>
  <c r="S38" i="52"/>
  <c r="Q38" i="52"/>
  <c r="Z38" i="52" s="1"/>
  <c r="AS38" i="52" s="1"/>
  <c r="P38" i="52"/>
  <c r="M38" i="52"/>
  <c r="K38" i="52"/>
  <c r="N38" i="52" s="1"/>
  <c r="B38" i="52"/>
  <c r="C38" i="52" s="1"/>
  <c r="AZ37" i="52"/>
  <c r="AU37" i="52"/>
  <c r="AV37" i="52" s="1"/>
  <c r="AE37" i="52"/>
  <c r="AB37" i="52"/>
  <c r="AL37" i="52" s="1"/>
  <c r="AM37" i="52" s="1"/>
  <c r="AA37" i="52"/>
  <c r="X37" i="52"/>
  <c r="AY37" i="52" s="1"/>
  <c r="W37" i="52"/>
  <c r="U37" i="52"/>
  <c r="S37" i="52"/>
  <c r="Q37" i="52"/>
  <c r="P37" i="52"/>
  <c r="M37" i="52"/>
  <c r="K37" i="52"/>
  <c r="N37" i="52" s="1"/>
  <c r="B37" i="52"/>
  <c r="C37" i="52" s="1"/>
  <c r="AZ36" i="52"/>
  <c r="AU36" i="52"/>
  <c r="AV36" i="52" s="1"/>
  <c r="AE36" i="52"/>
  <c r="AB36" i="52"/>
  <c r="AL36" i="52" s="1"/>
  <c r="AM36" i="52" s="1"/>
  <c r="AA36" i="52"/>
  <c r="X36" i="52"/>
  <c r="AY36" i="52" s="1"/>
  <c r="W36" i="52"/>
  <c r="U36" i="52"/>
  <c r="S36" i="52"/>
  <c r="Q36" i="52"/>
  <c r="P36" i="52"/>
  <c r="M36" i="52"/>
  <c r="K36" i="52"/>
  <c r="N36" i="52" s="1"/>
  <c r="B36" i="52"/>
  <c r="C36" i="52" s="1"/>
  <c r="AZ35" i="52"/>
  <c r="AU35" i="52"/>
  <c r="AV35" i="52" s="1"/>
  <c r="AE35" i="52"/>
  <c r="AB35" i="52"/>
  <c r="AL35" i="52" s="1"/>
  <c r="AM35" i="52" s="1"/>
  <c r="AA35" i="52"/>
  <c r="X35" i="52"/>
  <c r="AY35" i="52" s="1"/>
  <c r="BA35" i="52" s="1"/>
  <c r="W35" i="52"/>
  <c r="U35" i="52"/>
  <c r="S35" i="52"/>
  <c r="Q35" i="52"/>
  <c r="Z35" i="52" s="1"/>
  <c r="AS35" i="52" s="1"/>
  <c r="P35" i="52"/>
  <c r="M35" i="52"/>
  <c r="K35" i="52"/>
  <c r="N35" i="52" s="1"/>
  <c r="B35" i="52"/>
  <c r="C35" i="52" s="1"/>
  <c r="AZ34" i="52"/>
  <c r="AU34" i="52"/>
  <c r="AV34" i="52" s="1"/>
  <c r="AO34" i="52"/>
  <c r="AP34" i="52" s="1"/>
  <c r="AE34" i="52"/>
  <c r="AB34" i="52"/>
  <c r="AL34" i="52" s="1"/>
  <c r="AM34" i="52" s="1"/>
  <c r="AA34" i="52"/>
  <c r="X34" i="52"/>
  <c r="W34" i="52"/>
  <c r="U34" i="52"/>
  <c r="S34" i="52"/>
  <c r="Q34" i="52"/>
  <c r="P34" i="52"/>
  <c r="M34" i="52"/>
  <c r="K34" i="52"/>
  <c r="N34" i="52" s="1"/>
  <c r="B34" i="52"/>
  <c r="C34" i="52" s="1"/>
  <c r="AZ33" i="52"/>
  <c r="AU33" i="52"/>
  <c r="AV33" i="52" s="1"/>
  <c r="AE33" i="52"/>
  <c r="AB33" i="52"/>
  <c r="AI33" i="52" s="1"/>
  <c r="AJ33" i="52" s="1"/>
  <c r="AA33" i="52"/>
  <c r="X33" i="52"/>
  <c r="AY33" i="52" s="1"/>
  <c r="BA33" i="52" s="1"/>
  <c r="W33" i="52"/>
  <c r="U33" i="52"/>
  <c r="S33" i="52"/>
  <c r="Q33" i="52"/>
  <c r="P33" i="52"/>
  <c r="M33" i="52"/>
  <c r="K33" i="52"/>
  <c r="N33" i="52" s="1"/>
  <c r="B33" i="52"/>
  <c r="C33" i="52" s="1"/>
  <c r="AZ32" i="52"/>
  <c r="AU32" i="52"/>
  <c r="AV32" i="52" s="1"/>
  <c r="AE32" i="52"/>
  <c r="AB32" i="52"/>
  <c r="AL32" i="52" s="1"/>
  <c r="AM32" i="52" s="1"/>
  <c r="AA32" i="52"/>
  <c r="X32" i="52"/>
  <c r="W32" i="52"/>
  <c r="U32" i="52"/>
  <c r="S32" i="52"/>
  <c r="Q32" i="52"/>
  <c r="P32" i="52"/>
  <c r="M32" i="52"/>
  <c r="K32" i="52"/>
  <c r="N32" i="52" s="1"/>
  <c r="B32" i="52"/>
  <c r="C32" i="52" s="1"/>
  <c r="AZ31" i="52"/>
  <c r="AU31" i="52"/>
  <c r="AV31" i="52" s="1"/>
  <c r="AO31" i="52"/>
  <c r="AP31" i="52" s="1"/>
  <c r="AL31" i="52"/>
  <c r="AM31" i="52" s="1"/>
  <c r="AE31" i="52"/>
  <c r="AB31" i="52"/>
  <c r="AI31" i="52" s="1"/>
  <c r="AA31" i="52"/>
  <c r="Z31" i="52"/>
  <c r="AS31" i="52" s="1"/>
  <c r="X31" i="52"/>
  <c r="AY31" i="52" s="1"/>
  <c r="BA31" i="52" s="1"/>
  <c r="W31" i="52"/>
  <c r="U31" i="52"/>
  <c r="S31" i="52"/>
  <c r="Q31" i="52"/>
  <c r="P31" i="52"/>
  <c r="M31" i="52"/>
  <c r="N31" i="52" s="1"/>
  <c r="K31" i="52"/>
  <c r="B31" i="52"/>
  <c r="C31" i="52" s="1"/>
  <c r="AZ30" i="52"/>
  <c r="AU30" i="52"/>
  <c r="AV30" i="52" s="1"/>
  <c r="AO30" i="52"/>
  <c r="AP30" i="52" s="1"/>
  <c r="AM30" i="52"/>
  <c r="AE30" i="52"/>
  <c r="AB30" i="52"/>
  <c r="AL30" i="52" s="1"/>
  <c r="AA30" i="52"/>
  <c r="X30" i="52"/>
  <c r="AY30" i="52" s="1"/>
  <c r="BA30" i="52" s="1"/>
  <c r="W30" i="52"/>
  <c r="U30" i="52"/>
  <c r="S30" i="52"/>
  <c r="Q30" i="52"/>
  <c r="P30" i="52"/>
  <c r="M30" i="52"/>
  <c r="K30" i="52"/>
  <c r="N30" i="52" s="1"/>
  <c r="B30" i="52"/>
  <c r="C30" i="52" s="1"/>
  <c r="AZ29" i="52"/>
  <c r="AU29" i="52"/>
  <c r="AV29" i="52" s="1"/>
  <c r="AE29" i="52"/>
  <c r="AB29" i="52"/>
  <c r="AA29" i="52"/>
  <c r="X29" i="52"/>
  <c r="AY29" i="52" s="1"/>
  <c r="W29" i="52"/>
  <c r="U29" i="52"/>
  <c r="S29" i="52"/>
  <c r="Q29" i="52"/>
  <c r="P29" i="52"/>
  <c r="M29" i="52"/>
  <c r="K29" i="52"/>
  <c r="N29" i="52" s="1"/>
  <c r="B29" i="52"/>
  <c r="C29" i="52" s="1"/>
  <c r="AZ28" i="52"/>
  <c r="AY28" i="52"/>
  <c r="AU28" i="52"/>
  <c r="AV28" i="52" s="1"/>
  <c r="AW28" i="52" s="1"/>
  <c r="AE28" i="52"/>
  <c r="U28" i="52"/>
  <c r="S28" i="52"/>
  <c r="Q28" i="52"/>
  <c r="P28" i="52"/>
  <c r="L28" i="52"/>
  <c r="AB28" i="52" s="1"/>
  <c r="AL28" i="52" s="1"/>
  <c r="AM28" i="52" s="1"/>
  <c r="K28" i="52"/>
  <c r="A28" i="52"/>
  <c r="C28" i="52" s="1"/>
  <c r="AZ27" i="52"/>
  <c r="AY27" i="52"/>
  <c r="AU27" i="52"/>
  <c r="AV27" i="52" s="1"/>
  <c r="AW27" i="52" s="1"/>
  <c r="AE27" i="52"/>
  <c r="U27" i="52"/>
  <c r="S27" i="52"/>
  <c r="Q27" i="52"/>
  <c r="P27" i="52"/>
  <c r="K27" i="52"/>
  <c r="L27" i="52" s="1"/>
  <c r="A27" i="52"/>
  <c r="C27" i="52" s="1"/>
  <c r="AZ26" i="52"/>
  <c r="AY26" i="52"/>
  <c r="BA26" i="52" s="1"/>
  <c r="AU26" i="52"/>
  <c r="AV26" i="52" s="1"/>
  <c r="AW26" i="52" s="1"/>
  <c r="AE26" i="52"/>
  <c r="U26" i="52"/>
  <c r="S26" i="52"/>
  <c r="Q26" i="52"/>
  <c r="P26" i="52"/>
  <c r="K26" i="52"/>
  <c r="L26" i="52" s="1"/>
  <c r="AA26" i="52" s="1"/>
  <c r="A26" i="52"/>
  <c r="C26" i="52" s="1"/>
  <c r="AZ25" i="52"/>
  <c r="AU25" i="52"/>
  <c r="AV25" i="52" s="1"/>
  <c r="AE25" i="52"/>
  <c r="AB25" i="52"/>
  <c r="AL25" i="52" s="1"/>
  <c r="AM25" i="52" s="1"/>
  <c r="AA25" i="52"/>
  <c r="X25" i="52"/>
  <c r="W25" i="52"/>
  <c r="U25" i="52"/>
  <c r="S25" i="52"/>
  <c r="Q25" i="52"/>
  <c r="Z25" i="52" s="1"/>
  <c r="AS25" i="52" s="1"/>
  <c r="P25" i="52"/>
  <c r="M25" i="52"/>
  <c r="K25" i="52"/>
  <c r="N25" i="52" s="1"/>
  <c r="B25" i="52"/>
  <c r="A25" i="52"/>
  <c r="AZ24" i="52"/>
  <c r="AY24" i="52"/>
  <c r="AU24" i="52"/>
  <c r="AV24" i="52" s="1"/>
  <c r="AW24" i="52" s="1"/>
  <c r="AE24" i="52"/>
  <c r="U24" i="52"/>
  <c r="S24" i="52"/>
  <c r="Q24" i="52"/>
  <c r="P24" i="52"/>
  <c r="L24" i="52"/>
  <c r="C24" i="52"/>
  <c r="AZ23" i="52"/>
  <c r="AY23" i="52"/>
  <c r="AU23" i="52"/>
  <c r="AV23" i="52" s="1"/>
  <c r="AW23" i="52" s="1"/>
  <c r="AE23" i="52"/>
  <c r="AB23" i="52"/>
  <c r="AI23" i="52" s="1"/>
  <c r="AA23" i="52"/>
  <c r="U23" i="52"/>
  <c r="S23" i="52"/>
  <c r="Q23" i="52"/>
  <c r="Z23" i="52" s="1"/>
  <c r="AS23" i="52" s="1"/>
  <c r="P23" i="52"/>
  <c r="N23" i="52"/>
  <c r="M23" i="52"/>
  <c r="C23" i="52"/>
  <c r="AZ22" i="52"/>
  <c r="AU22" i="52"/>
  <c r="AV22" i="52" s="1"/>
  <c r="AE22" i="52"/>
  <c r="AB22" i="52"/>
  <c r="AO22" i="52" s="1"/>
  <c r="AP22" i="52" s="1"/>
  <c r="AA22" i="52"/>
  <c r="X22" i="52"/>
  <c r="AY22" i="52" s="1"/>
  <c r="W22" i="52"/>
  <c r="U22" i="52"/>
  <c r="S22" i="52"/>
  <c r="Q22" i="52"/>
  <c r="P22" i="52"/>
  <c r="M22" i="52"/>
  <c r="K22" i="52"/>
  <c r="N22" i="52" s="1"/>
  <c r="B22" i="52"/>
  <c r="C22" i="52" s="1"/>
  <c r="AZ21" i="52"/>
  <c r="AU21" i="52"/>
  <c r="AV21" i="52" s="1"/>
  <c r="AE21" i="52"/>
  <c r="AB21" i="52"/>
  <c r="AL21" i="52" s="1"/>
  <c r="AM21" i="52" s="1"/>
  <c r="AA21" i="52"/>
  <c r="X21" i="52"/>
  <c r="AY21" i="52" s="1"/>
  <c r="W21" i="52"/>
  <c r="U21" i="52"/>
  <c r="S21" i="52"/>
  <c r="Z21" i="52" s="1"/>
  <c r="AS21" i="52" s="1"/>
  <c r="Q21" i="52"/>
  <c r="P21" i="52"/>
  <c r="M21" i="52"/>
  <c r="K21" i="52"/>
  <c r="N21" i="52" s="1"/>
  <c r="B21" i="52"/>
  <c r="C21" i="52" s="1"/>
  <c r="AZ20" i="52"/>
  <c r="AY20" i="52"/>
  <c r="AU20" i="52"/>
  <c r="AV20" i="52" s="1"/>
  <c r="AW20" i="52" s="1"/>
  <c r="AE20" i="52"/>
  <c r="AB20" i="52"/>
  <c r="AO20" i="52" s="1"/>
  <c r="AP20" i="52" s="1"/>
  <c r="AA20" i="52"/>
  <c r="U20" i="52"/>
  <c r="S20" i="52"/>
  <c r="Z20" i="52" s="1"/>
  <c r="AS20" i="52" s="1"/>
  <c r="Q20" i="52"/>
  <c r="P20" i="52"/>
  <c r="M20" i="52"/>
  <c r="K20" i="52"/>
  <c r="N20" i="52" s="1"/>
  <c r="B20" i="52"/>
  <c r="A20" i="52"/>
  <c r="AZ19" i="52"/>
  <c r="AU19" i="52"/>
  <c r="AV19" i="52" s="1"/>
  <c r="AE19" i="52"/>
  <c r="AB19" i="52"/>
  <c r="AL19" i="52" s="1"/>
  <c r="AM19" i="52" s="1"/>
  <c r="AA19" i="52"/>
  <c r="X19" i="52"/>
  <c r="AY19" i="52" s="1"/>
  <c r="W19" i="52"/>
  <c r="U19" i="52"/>
  <c r="S19" i="52"/>
  <c r="Q19" i="52"/>
  <c r="Z19" i="52" s="1"/>
  <c r="AS19" i="52" s="1"/>
  <c r="P19" i="52"/>
  <c r="M19" i="52"/>
  <c r="K19" i="52"/>
  <c r="N19" i="52" s="1"/>
  <c r="B19" i="52"/>
  <c r="C19" i="52" s="1"/>
  <c r="AZ18" i="52"/>
  <c r="AU18" i="52"/>
  <c r="AV18" i="52" s="1"/>
  <c r="AE18" i="52"/>
  <c r="X18" i="52"/>
  <c r="AY18" i="52" s="1"/>
  <c r="W18" i="52"/>
  <c r="U18" i="52"/>
  <c r="S18" i="52"/>
  <c r="Q18" i="52"/>
  <c r="P18" i="52"/>
  <c r="K18" i="52"/>
  <c r="L18" i="52" s="1"/>
  <c r="B18" i="52"/>
  <c r="A18" i="52"/>
  <c r="AZ17" i="52"/>
  <c r="AU17" i="52"/>
  <c r="AV17" i="52" s="1"/>
  <c r="AE17" i="52"/>
  <c r="AB17" i="52"/>
  <c r="AO17" i="52" s="1"/>
  <c r="AP17" i="52" s="1"/>
  <c r="AA17" i="52"/>
  <c r="X17" i="52"/>
  <c r="W17" i="52"/>
  <c r="U17" i="52"/>
  <c r="S17" i="52"/>
  <c r="Q17" i="52"/>
  <c r="Z17" i="52" s="1"/>
  <c r="AS17" i="52" s="1"/>
  <c r="P17" i="52"/>
  <c r="M17" i="52"/>
  <c r="K17" i="52"/>
  <c r="N17" i="52" s="1"/>
  <c r="B17" i="52"/>
  <c r="C17" i="52" s="1"/>
  <c r="AZ16" i="52"/>
  <c r="AU16" i="52"/>
  <c r="AV16" i="52" s="1"/>
  <c r="AE16" i="52"/>
  <c r="AB16" i="52"/>
  <c r="AI16" i="52" s="1"/>
  <c r="AA16" i="52"/>
  <c r="X16" i="52"/>
  <c r="AY16" i="52" s="1"/>
  <c r="BA16" i="52" s="1"/>
  <c r="W16" i="52"/>
  <c r="U16" i="52"/>
  <c r="S16" i="52"/>
  <c r="Q16" i="52"/>
  <c r="P16" i="52"/>
  <c r="M16" i="52"/>
  <c r="K16" i="52"/>
  <c r="N16" i="52" s="1"/>
  <c r="B16" i="52"/>
  <c r="C16" i="52" s="1"/>
  <c r="AZ15" i="52"/>
  <c r="AU15" i="52"/>
  <c r="AV15" i="52" s="1"/>
  <c r="AP15" i="52"/>
  <c r="AE15" i="52"/>
  <c r="AB15" i="52"/>
  <c r="AO15" i="52" s="1"/>
  <c r="AA15" i="52"/>
  <c r="X15" i="52"/>
  <c r="AY15" i="52" s="1"/>
  <c r="BA15" i="52" s="1"/>
  <c r="W15" i="52"/>
  <c r="U15" i="52"/>
  <c r="S15" i="52"/>
  <c r="Q15" i="52"/>
  <c r="P15" i="52"/>
  <c r="M15" i="52"/>
  <c r="K15" i="52"/>
  <c r="N15" i="52" s="1"/>
  <c r="B15" i="52"/>
  <c r="A15" i="52"/>
  <c r="AZ14" i="52"/>
  <c r="AY14" i="52"/>
  <c r="AU14" i="52"/>
  <c r="AV14" i="52" s="1"/>
  <c r="AW14" i="52" s="1"/>
  <c r="AE14" i="52"/>
  <c r="U14" i="52"/>
  <c r="S14" i="52"/>
  <c r="Q14" i="52"/>
  <c r="P14" i="52"/>
  <c r="K14" i="52"/>
  <c r="B14" i="52"/>
  <c r="C14" i="52" s="1"/>
  <c r="AZ13" i="52"/>
  <c r="AY13" i="52"/>
  <c r="AU13" i="52"/>
  <c r="AV13" i="52" s="1"/>
  <c r="AW13" i="52" s="1"/>
  <c r="AE13" i="52"/>
  <c r="AB13" i="52"/>
  <c r="AO13" i="52" s="1"/>
  <c r="AP13" i="52" s="1"/>
  <c r="AA13" i="52"/>
  <c r="U13" i="52"/>
  <c r="S13" i="52"/>
  <c r="Q13" i="52"/>
  <c r="Z13" i="52" s="1"/>
  <c r="AS13" i="52" s="1"/>
  <c r="P13" i="52"/>
  <c r="N13" i="52"/>
  <c r="M13" i="52"/>
  <c r="K13" i="52"/>
  <c r="B13" i="52"/>
  <c r="C13" i="52" s="1"/>
  <c r="AZ12" i="52"/>
  <c r="AY12" i="52"/>
  <c r="AU12" i="52"/>
  <c r="AV12" i="52" s="1"/>
  <c r="AW12" i="52" s="1"/>
  <c r="AE12" i="52"/>
  <c r="Z12" i="52"/>
  <c r="AS12" i="52" s="1"/>
  <c r="U12" i="52"/>
  <c r="S12" i="52"/>
  <c r="Q12" i="52"/>
  <c r="P12" i="52"/>
  <c r="M12" i="52"/>
  <c r="K12" i="52"/>
  <c r="L12" i="52" s="1"/>
  <c r="AB12" i="52" s="1"/>
  <c r="AO12" i="52" s="1"/>
  <c r="AP12" i="52" s="1"/>
  <c r="B12" i="52"/>
  <c r="C12" i="52" s="1"/>
  <c r="AZ11" i="52"/>
  <c r="AY11" i="52"/>
  <c r="BA11" i="52" s="1"/>
  <c r="AU11" i="52"/>
  <c r="AV11" i="52" s="1"/>
  <c r="AW11" i="52" s="1"/>
  <c r="AE11" i="52"/>
  <c r="U11" i="52"/>
  <c r="S11" i="52"/>
  <c r="Q11" i="52"/>
  <c r="P11" i="52"/>
  <c r="K11" i="52"/>
  <c r="B11" i="52"/>
  <c r="C11" i="52" s="1"/>
  <c r="AZ10" i="52"/>
  <c r="AY10" i="52"/>
  <c r="AU10" i="52"/>
  <c r="AV10" i="52" s="1"/>
  <c r="AW10" i="52" s="1"/>
  <c r="AE10" i="52"/>
  <c r="U10" i="52"/>
  <c r="S10" i="52"/>
  <c r="Q10" i="52"/>
  <c r="P10" i="52"/>
  <c r="K10" i="52"/>
  <c r="B10" i="52"/>
  <c r="C10" i="52" s="1"/>
  <c r="AZ8" i="52"/>
  <c r="AY8" i="52"/>
  <c r="AU8" i="52"/>
  <c r="AV8" i="52" s="1"/>
  <c r="AW8" i="52" s="1"/>
  <c r="AO8" i="52"/>
  <c r="AP8" i="52" s="1"/>
  <c r="AE8" i="52"/>
  <c r="AB8" i="52"/>
  <c r="AI8" i="52" s="1"/>
  <c r="U8" i="52"/>
  <c r="S8" i="52"/>
  <c r="Q8" i="52"/>
  <c r="P8" i="52"/>
  <c r="K8" i="52"/>
  <c r="B8" i="52"/>
  <c r="A8" i="52"/>
  <c r="AZ7" i="52"/>
  <c r="AV7" i="52"/>
  <c r="AU7" i="52"/>
  <c r="AE7" i="52"/>
  <c r="AO7" i="52"/>
  <c r="AP7" i="52" s="1"/>
  <c r="AA7" i="52"/>
  <c r="X7" i="52"/>
  <c r="W7" i="52"/>
  <c r="U7" i="52"/>
  <c r="S7" i="52"/>
  <c r="Q7" i="52"/>
  <c r="Z7" i="52" s="1"/>
  <c r="P7" i="52"/>
  <c r="N7" i="52"/>
  <c r="M7" i="52"/>
  <c r="K7" i="52"/>
  <c r="B7" i="52"/>
  <c r="C7" i="52" s="1"/>
  <c r="AZ6" i="52"/>
  <c r="AU6" i="52"/>
  <c r="AV6" i="52" s="1"/>
  <c r="AE6" i="52"/>
  <c r="AB6" i="52"/>
  <c r="AL6" i="52" s="1"/>
  <c r="AM6" i="52" s="1"/>
  <c r="AA6" i="52"/>
  <c r="X6" i="52"/>
  <c r="BB6" i="52" s="1"/>
  <c r="W6" i="52"/>
  <c r="U6" i="52"/>
  <c r="S6" i="52"/>
  <c r="Q6" i="52"/>
  <c r="P6" i="52"/>
  <c r="M6" i="52"/>
  <c r="K6" i="52"/>
  <c r="N6" i="52" s="1"/>
  <c r="C6" i="52"/>
  <c r="B6" i="52"/>
  <c r="AZ5" i="52"/>
  <c r="AU5" i="52"/>
  <c r="AV5" i="52" s="1"/>
  <c r="AE5" i="52"/>
  <c r="AB5" i="52"/>
  <c r="AL5" i="52" s="1"/>
  <c r="AA5" i="52"/>
  <c r="X5" i="52"/>
  <c r="BB5" i="52" s="1"/>
  <c r="W5" i="52"/>
  <c r="U5" i="52"/>
  <c r="S5" i="52"/>
  <c r="Q5" i="52"/>
  <c r="P5" i="52"/>
  <c r="M5" i="52"/>
  <c r="K5" i="52"/>
  <c r="N5" i="52" s="1"/>
  <c r="B5" i="52"/>
  <c r="L14" i="50"/>
  <c r="L24" i="50"/>
  <c r="L26" i="50"/>
  <c r="L28" i="50"/>
  <c r="L27" i="50"/>
  <c r="L9" i="50"/>
  <c r="L8" i="50"/>
  <c r="L18" i="50"/>
  <c r="Y3" i="54" l="1"/>
  <c r="AI11" i="54"/>
  <c r="AA3" i="54"/>
  <c r="AN11" i="54"/>
  <c r="AO11" i="54" s="1"/>
  <c r="AK11" i="54"/>
  <c r="AL11" i="54" s="1"/>
  <c r="AC11" i="54" s="1"/>
  <c r="AE11" i="54" s="1"/>
  <c r="AR15" i="54"/>
  <c r="Y22" i="54"/>
  <c r="Y15" i="54"/>
  <c r="AH18" i="54" s="1"/>
  <c r="AN10" i="54"/>
  <c r="AO10" i="54" s="1"/>
  <c r="AH10" i="54"/>
  <c r="AK10" i="54"/>
  <c r="AL10" i="54" s="1"/>
  <c r="AH8" i="54"/>
  <c r="AK8" i="54"/>
  <c r="AL8" i="54" s="1"/>
  <c r="AN8" i="54"/>
  <c r="AO8" i="54" s="1"/>
  <c r="AP5" i="54"/>
  <c r="AN15" i="54"/>
  <c r="AI12" i="54"/>
  <c r="AP12" i="54"/>
  <c r="AS12" i="54" s="1"/>
  <c r="AQ5" i="54"/>
  <c r="AC5" i="54"/>
  <c r="AE5" i="54" s="1"/>
  <c r="AP13" i="54"/>
  <c r="AS13" i="54" s="1"/>
  <c r="AI13" i="54"/>
  <c r="AI6" i="54"/>
  <c r="AP6" i="54"/>
  <c r="AS6" i="54" s="1"/>
  <c r="AS5" i="54"/>
  <c r="AP9" i="54"/>
  <c r="AS9" i="54" s="1"/>
  <c r="AI9" i="54"/>
  <c r="AI14" i="54"/>
  <c r="AP14" i="54"/>
  <c r="AS14" i="54" s="1"/>
  <c r="AI48" i="53"/>
  <c r="AI2" i="53"/>
  <c r="AJ5" i="53"/>
  <c r="AQ5" i="53"/>
  <c r="AJ24" i="53"/>
  <c r="AQ24" i="53"/>
  <c r="AT24" i="53" s="1"/>
  <c r="AQ27" i="53"/>
  <c r="AT27" i="53" s="1"/>
  <c r="AJ27" i="53"/>
  <c r="AR23" i="53"/>
  <c r="AD23" i="53"/>
  <c r="AF23" i="53" s="1"/>
  <c r="AJ12" i="53"/>
  <c r="AQ12" i="53"/>
  <c r="AT12" i="53" s="1"/>
  <c r="AD43" i="53"/>
  <c r="AF43" i="53" s="1"/>
  <c r="AR43" i="53"/>
  <c r="AD45" i="53"/>
  <c r="AF45" i="53" s="1"/>
  <c r="AR45" i="53"/>
  <c r="AD16" i="53"/>
  <c r="AF16" i="53" s="1"/>
  <c r="AR16" i="53"/>
  <c r="AO48" i="53"/>
  <c r="AP5" i="53"/>
  <c r="AO2" i="53"/>
  <c r="AQ26" i="53"/>
  <c r="AT26" i="53" s="1"/>
  <c r="AJ26" i="53"/>
  <c r="AR32" i="53"/>
  <c r="AD32" i="53"/>
  <c r="AF32" i="53" s="1"/>
  <c r="AL48" i="53"/>
  <c r="AL2" i="53"/>
  <c r="AM5" i="53"/>
  <c r="AI51" i="53"/>
  <c r="AI55" i="53"/>
  <c r="Z50" i="53"/>
  <c r="Z51" i="53" s="1"/>
  <c r="AR10" i="53"/>
  <c r="AD10" i="53"/>
  <c r="AF10" i="53" s="1"/>
  <c r="AD29" i="53"/>
  <c r="AF29" i="53" s="1"/>
  <c r="AR29" i="53"/>
  <c r="AD46" i="53"/>
  <c r="AF46" i="53" s="1"/>
  <c r="AR46" i="53"/>
  <c r="AR36" i="53"/>
  <c r="AD36" i="53"/>
  <c r="AF36" i="53" s="1"/>
  <c r="AQ28" i="53"/>
  <c r="AT28" i="53" s="1"/>
  <c r="AJ28" i="53"/>
  <c r="AD11" i="53"/>
  <c r="AF11" i="53" s="1"/>
  <c r="AR11" i="53"/>
  <c r="AD44" i="53"/>
  <c r="AF44" i="53" s="1"/>
  <c r="AR44" i="53"/>
  <c r="AD9" i="52"/>
  <c r="AF9" i="52" s="1"/>
  <c r="AR9" i="52"/>
  <c r="N12" i="52"/>
  <c r="AA12" i="52"/>
  <c r="AO19" i="52"/>
  <c r="AP19" i="52" s="1"/>
  <c r="AW34" i="52"/>
  <c r="BA39" i="52"/>
  <c r="AI43" i="52"/>
  <c r="AJ43" i="52" s="1"/>
  <c r="AO47" i="52"/>
  <c r="AP47" i="52" s="1"/>
  <c r="BA14" i="52"/>
  <c r="AI21" i="52"/>
  <c r="AJ21" i="52" s="1"/>
  <c r="AI32" i="52"/>
  <c r="AO35" i="52"/>
  <c r="AP35" i="52" s="1"/>
  <c r="AR35" i="52" s="1"/>
  <c r="BA40" i="52"/>
  <c r="Z43" i="52"/>
  <c r="AS43" i="52" s="1"/>
  <c r="B3" i="52"/>
  <c r="AL8" i="52"/>
  <c r="AM8" i="52" s="1"/>
  <c r="L10" i="52"/>
  <c r="BA13" i="52"/>
  <c r="Z15" i="52"/>
  <c r="AS15" i="52" s="1"/>
  <c r="AI20" i="52"/>
  <c r="AJ20" i="52" s="1"/>
  <c r="BA22" i="52"/>
  <c r="BA23" i="52"/>
  <c r="AI30" i="52"/>
  <c r="AJ30" i="52" s="1"/>
  <c r="AO32" i="52"/>
  <c r="AP32" i="52" s="1"/>
  <c r="AR32" i="52" s="1"/>
  <c r="Z36" i="52"/>
  <c r="AS36" i="52" s="1"/>
  <c r="BA37" i="52"/>
  <c r="Z39" i="52"/>
  <c r="AS39" i="52" s="1"/>
  <c r="BA43" i="52"/>
  <c r="Z10" i="52"/>
  <c r="AS10" i="52" s="1"/>
  <c r="N11" i="52"/>
  <c r="L11" i="52"/>
  <c r="AO21" i="52"/>
  <c r="AP21" i="52" s="1"/>
  <c r="Z6" i="52"/>
  <c r="AS6" i="52" s="1"/>
  <c r="AW7" i="52"/>
  <c r="BA12" i="52"/>
  <c r="C20" i="52"/>
  <c r="BA20" i="52"/>
  <c r="Z22" i="52"/>
  <c r="AS22" i="52" s="1"/>
  <c r="BA27" i="52"/>
  <c r="BA28" i="52"/>
  <c r="Z37" i="52"/>
  <c r="AS37" i="52" s="1"/>
  <c r="BA38" i="52"/>
  <c r="Z40" i="52"/>
  <c r="AS40" i="52" s="1"/>
  <c r="BA44" i="52"/>
  <c r="AW18" i="52"/>
  <c r="AW39" i="52"/>
  <c r="AY5" i="52"/>
  <c r="BA5" i="52" s="1"/>
  <c r="AW33" i="52"/>
  <c r="AA27" i="52"/>
  <c r="AB27" i="52"/>
  <c r="AL27" i="52" s="1"/>
  <c r="AM27" i="52" s="1"/>
  <c r="AI25" i="52"/>
  <c r="C15" i="52"/>
  <c r="AI17" i="52"/>
  <c r="AJ17" i="52" s="1"/>
  <c r="AI22" i="52"/>
  <c r="AJ22" i="52" s="1"/>
  <c r="N28" i="52"/>
  <c r="Z29" i="52"/>
  <c r="Z34" i="52"/>
  <c r="AS34" i="52" s="1"/>
  <c r="AI36" i="52"/>
  <c r="AJ36" i="52" s="1"/>
  <c r="AI38" i="52"/>
  <c r="AJ38" i="52" s="1"/>
  <c r="AI39" i="52"/>
  <c r="AJ39" i="52" s="1"/>
  <c r="AD39" i="52" s="1"/>
  <c r="AF39" i="52" s="1"/>
  <c r="Z45" i="52"/>
  <c r="AS45" i="52" s="1"/>
  <c r="AI6" i="52"/>
  <c r="AQ6" i="52" s="1"/>
  <c r="AT6" i="52" s="1"/>
  <c r="AA28" i="52"/>
  <c r="AJ32" i="52"/>
  <c r="AI37" i="52"/>
  <c r="AJ37" i="52" s="1"/>
  <c r="AR37" i="52" s="1"/>
  <c r="Z41" i="52"/>
  <c r="AS41" i="52" s="1"/>
  <c r="AO6" i="52"/>
  <c r="AP6" i="52" s="1"/>
  <c r="AI7" i="52"/>
  <c r="AJ7" i="52" s="1"/>
  <c r="C8" i="52"/>
  <c r="BA8" i="52"/>
  <c r="AI13" i="52"/>
  <c r="AJ13" i="52" s="1"/>
  <c r="AI15" i="52"/>
  <c r="AJ15" i="52" s="1"/>
  <c r="Z16" i="52"/>
  <c r="AS16" i="52" s="1"/>
  <c r="C18" i="52"/>
  <c r="AI19" i="52"/>
  <c r="AJ19" i="52" s="1"/>
  <c r="AD19" i="52" s="1"/>
  <c r="AF19" i="52" s="1"/>
  <c r="AW25" i="52"/>
  <c r="AO25" i="52"/>
  <c r="AP25" i="52" s="1"/>
  <c r="AW29" i="52"/>
  <c r="AW31" i="52"/>
  <c r="AI35" i="52"/>
  <c r="AJ35" i="52" s="1"/>
  <c r="AO37" i="52"/>
  <c r="AP37" i="52" s="1"/>
  <c r="AD21" i="52"/>
  <c r="AF21" i="52" s="1"/>
  <c r="AY7" i="52"/>
  <c r="BA7" i="52" s="1"/>
  <c r="BA21" i="52"/>
  <c r="AW5" i="52"/>
  <c r="Z5" i="52"/>
  <c r="AS5" i="52" s="1"/>
  <c r="BA10" i="52"/>
  <c r="Z11" i="52"/>
  <c r="AS11" i="52" s="1"/>
  <c r="BA18" i="52"/>
  <c r="BA19" i="52"/>
  <c r="BA24" i="52"/>
  <c r="AO28" i="52"/>
  <c r="AP28" i="52" s="1"/>
  <c r="Z30" i="52"/>
  <c r="AS30" i="52" s="1"/>
  <c r="Z32" i="52"/>
  <c r="AS32" i="52" s="1"/>
  <c r="AI34" i="52"/>
  <c r="BA36" i="52"/>
  <c r="AO36" i="52"/>
  <c r="AP36" i="52" s="1"/>
  <c r="AW38" i="52"/>
  <c r="AO38" i="52"/>
  <c r="AP38" i="52" s="1"/>
  <c r="AO39" i="52"/>
  <c r="AP39" i="52" s="1"/>
  <c r="BA41" i="52"/>
  <c r="BA42" i="52"/>
  <c r="AI44" i="52"/>
  <c r="AJ44" i="52" s="1"/>
  <c r="AW22" i="52"/>
  <c r="AW35" i="52"/>
  <c r="AY34" i="52"/>
  <c r="BA34" i="52" s="1"/>
  <c r="AW37" i="52"/>
  <c r="AM5" i="52"/>
  <c r="AS7" i="52"/>
  <c r="C5" i="52"/>
  <c r="AJ8" i="52"/>
  <c r="AQ8" i="52"/>
  <c r="AA8" i="52"/>
  <c r="N8" i="52"/>
  <c r="Z8" i="52"/>
  <c r="AS8" i="52" s="1"/>
  <c r="M8" i="52"/>
  <c r="AL16" i="52"/>
  <c r="AM16" i="52" s="1"/>
  <c r="AJ40" i="52"/>
  <c r="AJ45" i="52"/>
  <c r="AR47" i="52"/>
  <c r="AD47" i="52"/>
  <c r="AF47" i="52" s="1"/>
  <c r="N18" i="52"/>
  <c r="M18" i="52"/>
  <c r="AB18" i="52"/>
  <c r="AA18" i="52"/>
  <c r="AL12" i="52"/>
  <c r="AM12" i="52" s="1"/>
  <c r="AB14" i="52"/>
  <c r="AA14" i="52"/>
  <c r="N14" i="52"/>
  <c r="Z14" i="52"/>
  <c r="AS14" i="52" s="1"/>
  <c r="M14" i="52"/>
  <c r="AO16" i="52"/>
  <c r="AP16" i="52" s="1"/>
  <c r="AY25" i="52"/>
  <c r="BA25" i="52" s="1"/>
  <c r="AI27" i="52"/>
  <c r="AO29" i="52"/>
  <c r="AP29" i="52" s="1"/>
  <c r="AL29" i="52"/>
  <c r="AM29" i="52" s="1"/>
  <c r="AI29" i="52"/>
  <c r="AD42" i="52"/>
  <c r="AF42" i="52" s="1"/>
  <c r="AR42" i="52"/>
  <c r="AI5" i="52"/>
  <c r="AY17" i="52"/>
  <c r="BA17" i="52" s="1"/>
  <c r="AW17" i="52"/>
  <c r="AR19" i="52"/>
  <c r="AR21" i="52"/>
  <c r="AS29" i="52"/>
  <c r="AR39" i="52"/>
  <c r="AO5" i="52"/>
  <c r="AW15" i="52"/>
  <c r="AJ16" i="52"/>
  <c r="Z18" i="52"/>
  <c r="AY6" i="52"/>
  <c r="BA6" i="52" s="1"/>
  <c r="AW6" i="52"/>
  <c r="AR30" i="52"/>
  <c r="AD30" i="52"/>
  <c r="AF30" i="52" s="1"/>
  <c r="AI12" i="52"/>
  <c r="AJ23" i="52"/>
  <c r="Z26" i="52"/>
  <c r="AS26" i="52" s="1"/>
  <c r="M26" i="52"/>
  <c r="AB26" i="52"/>
  <c r="N26" i="52"/>
  <c r="AQ31" i="52"/>
  <c r="AT31" i="52" s="1"/>
  <c r="AJ31" i="52"/>
  <c r="BB19" i="52"/>
  <c r="AL23" i="52"/>
  <c r="AM23" i="52" s="1"/>
  <c r="Z33" i="52"/>
  <c r="AS33" i="52" s="1"/>
  <c r="AO41" i="52"/>
  <c r="AP41" i="52" s="1"/>
  <c r="AI41" i="52"/>
  <c r="AL20" i="52"/>
  <c r="AL22" i="52"/>
  <c r="Z24" i="52"/>
  <c r="AS24" i="52" s="1"/>
  <c r="M24" i="52"/>
  <c r="AA24" i="52"/>
  <c r="AW32" i="52"/>
  <c r="AQ36" i="52"/>
  <c r="AT36" i="52" s="1"/>
  <c r="AL7" i="52"/>
  <c r="AL13" i="52"/>
  <c r="AL15" i="52"/>
  <c r="AM15" i="52" s="1"/>
  <c r="AR15" i="52" s="1"/>
  <c r="AL17" i="52"/>
  <c r="AM17" i="52" s="1"/>
  <c r="AQ19" i="52"/>
  <c r="AT19" i="52" s="1"/>
  <c r="AW19" i="52"/>
  <c r="AQ21" i="52"/>
  <c r="AT21" i="52" s="1"/>
  <c r="AW21" i="52"/>
  <c r="AO23" i="52"/>
  <c r="AP23" i="52" s="1"/>
  <c r="N24" i="52"/>
  <c r="AB24" i="52"/>
  <c r="C25" i="52"/>
  <c r="AD36" i="52"/>
  <c r="AF36" i="52" s="1"/>
  <c r="AQ37" i="52"/>
  <c r="AT37" i="52" s="1"/>
  <c r="AJ6" i="52"/>
  <c r="AW16" i="52"/>
  <c r="M27" i="52"/>
  <c r="Z27" i="52"/>
  <c r="AS27" i="52" s="1"/>
  <c r="AI28" i="52"/>
  <c r="AW30" i="52"/>
  <c r="AQ30" i="52"/>
  <c r="AL33" i="52"/>
  <c r="AM33" i="52" s="1"/>
  <c r="AW36" i="52"/>
  <c r="N27" i="52"/>
  <c r="M28" i="52"/>
  <c r="Z28" i="52"/>
  <c r="AS28" i="52" s="1"/>
  <c r="BA29" i="52"/>
  <c r="AY32" i="52"/>
  <c r="BA32" i="52" s="1"/>
  <c r="AO33" i="52"/>
  <c r="AP33" i="52" s="1"/>
  <c r="AR36" i="52"/>
  <c r="AQ39" i="52"/>
  <c r="AT39" i="52" s="1"/>
  <c r="Z42" i="52"/>
  <c r="AS42" i="52" s="1"/>
  <c r="AQ42" i="52"/>
  <c r="AR44" i="52"/>
  <c r="AD44" i="52"/>
  <c r="AF44" i="52" s="1"/>
  <c r="AL45" i="52"/>
  <c r="AM45" i="52" s="1"/>
  <c r="AO43" i="52"/>
  <c r="AO44" i="52"/>
  <c r="AP44" i="52" s="1"/>
  <c r="AI46" i="52"/>
  <c r="AW46" i="52"/>
  <c r="AL40" i="52"/>
  <c r="AM40" i="52" s="1"/>
  <c r="AO45" i="52"/>
  <c r="AP45" i="52" s="1"/>
  <c r="AQ44" i="52"/>
  <c r="AT44" i="52" s="1"/>
  <c r="AL46" i="52"/>
  <c r="AM46" i="52" s="1"/>
  <c r="AQ47" i="52"/>
  <c r="AT47" i="52" s="1"/>
  <c r="AW47" i="52"/>
  <c r="U18" i="50"/>
  <c r="AN2" i="54" l="1"/>
  <c r="AQ11" i="54"/>
  <c r="AP11" i="54"/>
  <c r="AS11" i="54" s="1"/>
  <c r="AK2" i="54"/>
  <c r="AK15" i="54"/>
  <c r="AI10" i="54"/>
  <c r="AP10" i="54"/>
  <c r="AS10" i="54" s="1"/>
  <c r="AH22" i="54"/>
  <c r="AH15" i="54"/>
  <c r="AH2" i="54"/>
  <c r="AI8" i="54"/>
  <c r="AP8" i="54"/>
  <c r="AS8" i="54" s="1"/>
  <c r="AQ9" i="54"/>
  <c r="AC9" i="54"/>
  <c r="AE9" i="54" s="1"/>
  <c r="AC13" i="54"/>
  <c r="AE13" i="54" s="1"/>
  <c r="AQ13" i="54"/>
  <c r="AQ14" i="54"/>
  <c r="AC14" i="54"/>
  <c r="AE14" i="54" s="1"/>
  <c r="AQ6" i="54"/>
  <c r="AC6" i="54"/>
  <c r="AE6" i="54" s="1"/>
  <c r="AC12" i="54"/>
  <c r="AE12" i="54" s="1"/>
  <c r="AQ12" i="54"/>
  <c r="AR27" i="53"/>
  <c r="AD27" i="53"/>
  <c r="AF27" i="53" s="1"/>
  <c r="AR28" i="53"/>
  <c r="AD28" i="53"/>
  <c r="AF28" i="53" s="1"/>
  <c r="AR26" i="53"/>
  <c r="AD26" i="53"/>
  <c r="AF26" i="53" s="1"/>
  <c r="AR12" i="53"/>
  <c r="AD12" i="53"/>
  <c r="AF12" i="53" s="1"/>
  <c r="AD24" i="53"/>
  <c r="AF24" i="53" s="1"/>
  <c r="AR24" i="53"/>
  <c r="AQ48" i="53"/>
  <c r="AQ3" i="53"/>
  <c r="AT5" i="53"/>
  <c r="AR5" i="53"/>
  <c r="AD5" i="53"/>
  <c r="AF5" i="53" s="1"/>
  <c r="AB10" i="52"/>
  <c r="M10" i="52"/>
  <c r="AA10" i="52"/>
  <c r="AA48" i="52" s="1"/>
  <c r="AT32" i="52"/>
  <c r="AD32" i="52"/>
  <c r="AF32" i="52" s="1"/>
  <c r="N10" i="52"/>
  <c r="AQ32" i="52"/>
  <c r="AQ38" i="52"/>
  <c r="AT38" i="52" s="1"/>
  <c r="AD35" i="52"/>
  <c r="AF35" i="52" s="1"/>
  <c r="AD33" i="52"/>
  <c r="AF33" i="52" s="1"/>
  <c r="Z57" i="52"/>
  <c r="AB11" i="52"/>
  <c r="M11" i="52"/>
  <c r="AA11" i="52"/>
  <c r="AT30" i="52"/>
  <c r="AD17" i="52"/>
  <c r="AF17" i="52" s="1"/>
  <c r="AD37" i="52"/>
  <c r="AF37" i="52" s="1"/>
  <c r="AQ35" i="52"/>
  <c r="AT35" i="52" s="1"/>
  <c r="AD15" i="52"/>
  <c r="AF15" i="52" s="1"/>
  <c r="AR38" i="52"/>
  <c r="AQ25" i="52"/>
  <c r="AT25" i="52" s="1"/>
  <c r="AJ25" i="52"/>
  <c r="AD38" i="52"/>
  <c r="AF38" i="52" s="1"/>
  <c r="AR33" i="52"/>
  <c r="AB48" i="52"/>
  <c r="AQ16" i="52"/>
  <c r="AT16" i="52" s="1"/>
  <c r="AO27" i="52"/>
  <c r="AP27" i="52" s="1"/>
  <c r="AT8" i="52"/>
  <c r="AQ34" i="52"/>
  <c r="AT34" i="52" s="1"/>
  <c r="AJ34" i="52"/>
  <c r="N48" i="52"/>
  <c r="AS18" i="52"/>
  <c r="AS48" i="52" s="1"/>
  <c r="Z1" i="52"/>
  <c r="AP43" i="52"/>
  <c r="AQ43" i="52"/>
  <c r="AT43" i="52" s="1"/>
  <c r="AT42" i="52"/>
  <c r="AJ28" i="52"/>
  <c r="AQ28" i="52"/>
  <c r="AT28" i="52" s="1"/>
  <c r="AM13" i="52"/>
  <c r="AQ13" i="52"/>
  <c r="AT13" i="52" s="1"/>
  <c r="AI26" i="52"/>
  <c r="AO26" i="52"/>
  <c r="AP26" i="52" s="1"/>
  <c r="AL26" i="52"/>
  <c r="AM26" i="52" s="1"/>
  <c r="Z56" i="52"/>
  <c r="AJ27" i="52"/>
  <c r="AO18" i="52"/>
  <c r="AP18" i="52" s="1"/>
  <c r="AL18" i="52"/>
  <c r="AM18" i="52" s="1"/>
  <c r="AI18" i="52"/>
  <c r="AR45" i="52"/>
  <c r="AD45" i="52"/>
  <c r="AF45" i="52" s="1"/>
  <c r="AP5" i="52"/>
  <c r="Z55" i="52"/>
  <c r="AQ40" i="52"/>
  <c r="AT40" i="52" s="1"/>
  <c r="AR8" i="52"/>
  <c r="AD8" i="52"/>
  <c r="AF8" i="52" s="1"/>
  <c r="AM22" i="52"/>
  <c r="AQ22" i="52"/>
  <c r="AT22" i="52" s="1"/>
  <c r="AR16" i="52"/>
  <c r="AD16" i="52"/>
  <c r="AF16" i="52" s="1"/>
  <c r="Z48" i="52"/>
  <c r="Z50" i="52" s="1"/>
  <c r="AR40" i="52"/>
  <c r="AD40" i="52"/>
  <c r="AF40" i="52" s="1"/>
  <c r="AI24" i="52"/>
  <c r="AO24" i="52"/>
  <c r="AP24" i="52" s="1"/>
  <c r="AL24" i="52"/>
  <c r="AM24" i="52" s="1"/>
  <c r="AM20" i="52"/>
  <c r="AQ20" i="52"/>
  <c r="AT20" i="52" s="1"/>
  <c r="AQ33" i="52"/>
  <c r="AT33" i="52" s="1"/>
  <c r="AD31" i="52"/>
  <c r="AF31" i="52" s="1"/>
  <c r="AR31" i="52"/>
  <c r="AJ29" i="52"/>
  <c r="AQ29" i="52"/>
  <c r="AT29" i="52" s="1"/>
  <c r="Z3" i="52"/>
  <c r="AM7" i="52"/>
  <c r="AQ7" i="52"/>
  <c r="AT7" i="52" s="1"/>
  <c r="AR6" i="52"/>
  <c r="AD6" i="52"/>
  <c r="AF6" i="52" s="1"/>
  <c r="AR17" i="52"/>
  <c r="AR23" i="52"/>
  <c r="AD23" i="52"/>
  <c r="AF23" i="52" s="1"/>
  <c r="AQ23" i="52"/>
  <c r="AT23" i="52" s="1"/>
  <c r="AB3" i="52"/>
  <c r="AJ46" i="52"/>
  <c r="AQ46" i="52"/>
  <c r="AT46" i="52" s="1"/>
  <c r="AJ41" i="52"/>
  <c r="AQ41" i="52"/>
  <c r="AT41" i="52" s="1"/>
  <c r="AQ12" i="52"/>
  <c r="AT12" i="52" s="1"/>
  <c r="AJ12" i="52"/>
  <c r="AQ15" i="52"/>
  <c r="AT15" i="52" s="1"/>
  <c r="AQ5" i="52"/>
  <c r="AJ5" i="52"/>
  <c r="AQ17" i="52"/>
  <c r="AT17" i="52" s="1"/>
  <c r="AL14" i="52"/>
  <c r="AM14" i="52" s="1"/>
  <c r="AI14" i="52"/>
  <c r="AO14" i="52"/>
  <c r="AP14" i="52" s="1"/>
  <c r="AQ45" i="52"/>
  <c r="AT45" i="52" s="1"/>
  <c r="XEO48" i="50"/>
  <c r="AZ47" i="50"/>
  <c r="AU47" i="50"/>
  <c r="AV47" i="50" s="1"/>
  <c r="AE47" i="50"/>
  <c r="AB47" i="50"/>
  <c r="AL47" i="50" s="1"/>
  <c r="AM47" i="50" s="1"/>
  <c r="AA47" i="50"/>
  <c r="X47" i="50"/>
  <c r="AY47" i="50" s="1"/>
  <c r="BA47" i="50" s="1"/>
  <c r="W47" i="50"/>
  <c r="U47" i="50"/>
  <c r="S47" i="50"/>
  <c r="Q47" i="50"/>
  <c r="P47" i="50"/>
  <c r="M47" i="50"/>
  <c r="K47" i="50"/>
  <c r="N47" i="50" s="1"/>
  <c r="B47" i="50"/>
  <c r="C47" i="50" s="1"/>
  <c r="AZ46" i="50"/>
  <c r="AU46" i="50"/>
  <c r="AV46" i="50" s="1"/>
  <c r="AE46" i="50"/>
  <c r="AB46" i="50"/>
  <c r="AL46" i="50" s="1"/>
  <c r="AM46" i="50" s="1"/>
  <c r="AA46" i="50"/>
  <c r="X46" i="50"/>
  <c r="AY46" i="50" s="1"/>
  <c r="W46" i="50"/>
  <c r="U46" i="50"/>
  <c r="S46" i="50"/>
  <c r="Q46" i="50"/>
  <c r="P46" i="50"/>
  <c r="M46" i="50"/>
  <c r="K46" i="50"/>
  <c r="N46" i="50" s="1"/>
  <c r="B46" i="50"/>
  <c r="C46" i="50" s="1"/>
  <c r="AZ45" i="50"/>
  <c r="AY45" i="50"/>
  <c r="AU45" i="50"/>
  <c r="AV45" i="50" s="1"/>
  <c r="AW45" i="50" s="1"/>
  <c r="AE45" i="50"/>
  <c r="AB45" i="50"/>
  <c r="AL45" i="50" s="1"/>
  <c r="AM45" i="50" s="1"/>
  <c r="AA45" i="50"/>
  <c r="U45" i="50"/>
  <c r="S45" i="50"/>
  <c r="Q45" i="50"/>
  <c r="P45" i="50"/>
  <c r="M45" i="50"/>
  <c r="K45" i="50"/>
  <c r="N45" i="50" s="1"/>
  <c r="B45" i="50"/>
  <c r="C45" i="50" s="1"/>
  <c r="AZ44" i="50"/>
  <c r="AY44" i="50"/>
  <c r="AU44" i="50"/>
  <c r="AV44" i="50" s="1"/>
  <c r="AW44" i="50" s="1"/>
  <c r="AE44" i="50"/>
  <c r="AB44" i="50"/>
  <c r="AL44" i="50" s="1"/>
  <c r="AM44" i="50" s="1"/>
  <c r="AA44" i="50"/>
  <c r="U44" i="50"/>
  <c r="S44" i="50"/>
  <c r="Q44" i="50"/>
  <c r="P44" i="50"/>
  <c r="M44" i="50"/>
  <c r="K44" i="50"/>
  <c r="N44" i="50" s="1"/>
  <c r="C44" i="50"/>
  <c r="AZ43" i="50"/>
  <c r="AY43" i="50"/>
  <c r="AU43" i="50"/>
  <c r="AV43" i="50" s="1"/>
  <c r="AW43" i="50" s="1"/>
  <c r="AE43" i="50"/>
  <c r="AB43" i="50"/>
  <c r="AA43" i="50"/>
  <c r="U43" i="50"/>
  <c r="S43" i="50"/>
  <c r="Q43" i="50"/>
  <c r="P43" i="50"/>
  <c r="M43" i="50"/>
  <c r="K43" i="50"/>
  <c r="N43" i="50" s="1"/>
  <c r="B43" i="50"/>
  <c r="C43" i="50" s="1"/>
  <c r="AZ42" i="50"/>
  <c r="AY42" i="50"/>
  <c r="AU42" i="50"/>
  <c r="AV42" i="50" s="1"/>
  <c r="AW42" i="50" s="1"/>
  <c r="AE42" i="50"/>
  <c r="U42" i="50"/>
  <c r="S42" i="50"/>
  <c r="Q42" i="50"/>
  <c r="P42" i="50"/>
  <c r="K42" i="50"/>
  <c r="B42" i="50"/>
  <c r="C42" i="50" s="1"/>
  <c r="AZ41" i="50"/>
  <c r="AY41" i="50"/>
  <c r="AU41" i="50"/>
  <c r="AV41" i="50" s="1"/>
  <c r="AW41" i="50" s="1"/>
  <c r="AE41" i="50"/>
  <c r="U41" i="50"/>
  <c r="S41" i="50"/>
  <c r="Q41" i="50"/>
  <c r="P41" i="50"/>
  <c r="K41" i="50"/>
  <c r="B41" i="50"/>
  <c r="C41" i="50" s="1"/>
  <c r="AZ40" i="50"/>
  <c r="AY40" i="50"/>
  <c r="BA40" i="50" s="1"/>
  <c r="AU40" i="50"/>
  <c r="AV40" i="50" s="1"/>
  <c r="AW40" i="50" s="1"/>
  <c r="AE40" i="50"/>
  <c r="AB40" i="50"/>
  <c r="AL40" i="50" s="1"/>
  <c r="AM40" i="50" s="1"/>
  <c r="AA40" i="50"/>
  <c r="U40" i="50"/>
  <c r="S40" i="50"/>
  <c r="Q40" i="50"/>
  <c r="P40" i="50"/>
  <c r="M40" i="50"/>
  <c r="K40" i="50"/>
  <c r="N40" i="50" s="1"/>
  <c r="B40" i="50"/>
  <c r="C40" i="50" s="1"/>
  <c r="AZ39" i="50"/>
  <c r="AU39" i="50"/>
  <c r="AV39" i="50" s="1"/>
  <c r="AE39" i="50"/>
  <c r="X39" i="50"/>
  <c r="W39" i="50"/>
  <c r="U39" i="50"/>
  <c r="S39" i="50"/>
  <c r="Q39" i="50"/>
  <c r="P39" i="50"/>
  <c r="K39" i="50"/>
  <c r="B39" i="50"/>
  <c r="C39" i="50" s="1"/>
  <c r="AZ38" i="50"/>
  <c r="AU38" i="50"/>
  <c r="AV38" i="50" s="1"/>
  <c r="AE38" i="50"/>
  <c r="AB38" i="50"/>
  <c r="AA38" i="50"/>
  <c r="X38" i="50"/>
  <c r="AY38" i="50" s="1"/>
  <c r="BA38" i="50" s="1"/>
  <c r="W38" i="50"/>
  <c r="U38" i="50"/>
  <c r="S38" i="50"/>
  <c r="Q38" i="50"/>
  <c r="P38" i="50"/>
  <c r="M38" i="50"/>
  <c r="K38" i="50"/>
  <c r="N38" i="50" s="1"/>
  <c r="B38" i="50"/>
  <c r="C38" i="50" s="1"/>
  <c r="AZ37" i="50"/>
  <c r="AU37" i="50"/>
  <c r="AV37" i="50" s="1"/>
  <c r="AE37" i="50"/>
  <c r="AB37" i="50"/>
  <c r="AL37" i="50" s="1"/>
  <c r="AM37" i="50" s="1"/>
  <c r="AA37" i="50"/>
  <c r="X37" i="50"/>
  <c r="W37" i="50"/>
  <c r="U37" i="50"/>
  <c r="S37" i="50"/>
  <c r="Q37" i="50"/>
  <c r="Z37" i="50" s="1"/>
  <c r="AS37" i="50" s="1"/>
  <c r="P37" i="50"/>
  <c r="M37" i="50"/>
  <c r="K37" i="50"/>
  <c r="N37" i="50" s="1"/>
  <c r="B37" i="50"/>
  <c r="C37" i="50" s="1"/>
  <c r="AZ36" i="50"/>
  <c r="AU36" i="50"/>
  <c r="AV36" i="50" s="1"/>
  <c r="AE36" i="50"/>
  <c r="AB36" i="50"/>
  <c r="AO36" i="50" s="1"/>
  <c r="AP36" i="50" s="1"/>
  <c r="AA36" i="50"/>
  <c r="X36" i="50"/>
  <c r="AY36" i="50" s="1"/>
  <c r="W36" i="50"/>
  <c r="U36" i="50"/>
  <c r="S36" i="50"/>
  <c r="Q36" i="50"/>
  <c r="P36" i="50"/>
  <c r="M36" i="50"/>
  <c r="K36" i="50"/>
  <c r="N36" i="50" s="1"/>
  <c r="B36" i="50"/>
  <c r="C36" i="50" s="1"/>
  <c r="AZ35" i="50"/>
  <c r="AU35" i="50"/>
  <c r="AV35" i="50" s="1"/>
  <c r="AE35" i="50"/>
  <c r="AB35" i="50"/>
  <c r="AL35" i="50" s="1"/>
  <c r="AM35" i="50" s="1"/>
  <c r="AA35" i="50"/>
  <c r="X35" i="50"/>
  <c r="AY35" i="50" s="1"/>
  <c r="BA35" i="50" s="1"/>
  <c r="W35" i="50"/>
  <c r="U35" i="50"/>
  <c r="S35" i="50"/>
  <c r="Q35" i="50"/>
  <c r="P35" i="50"/>
  <c r="M35" i="50"/>
  <c r="K35" i="50"/>
  <c r="N35" i="50" s="1"/>
  <c r="B35" i="50"/>
  <c r="C35" i="50" s="1"/>
  <c r="AZ34" i="50"/>
  <c r="AU34" i="50"/>
  <c r="AV34" i="50" s="1"/>
  <c r="AE34" i="50"/>
  <c r="AB34" i="50"/>
  <c r="AL34" i="50" s="1"/>
  <c r="AM34" i="50" s="1"/>
  <c r="AA34" i="50"/>
  <c r="X34" i="50"/>
  <c r="AY34" i="50" s="1"/>
  <c r="BA34" i="50" s="1"/>
  <c r="W34" i="50"/>
  <c r="U34" i="50"/>
  <c r="S34" i="50"/>
  <c r="Q34" i="50"/>
  <c r="P34" i="50"/>
  <c r="M34" i="50"/>
  <c r="K34" i="50"/>
  <c r="N34" i="50" s="1"/>
  <c r="B34" i="50"/>
  <c r="C34" i="50" s="1"/>
  <c r="AZ33" i="50"/>
  <c r="AU33" i="50"/>
  <c r="AV33" i="50" s="1"/>
  <c r="AE33" i="50"/>
  <c r="AB33" i="50"/>
  <c r="AO33" i="50" s="1"/>
  <c r="AP33" i="50" s="1"/>
  <c r="AA33" i="50"/>
  <c r="X33" i="50"/>
  <c r="AY33" i="50" s="1"/>
  <c r="W33" i="50"/>
  <c r="U33" i="50"/>
  <c r="S33" i="50"/>
  <c r="Q33" i="50"/>
  <c r="P33" i="50"/>
  <c r="M33" i="50"/>
  <c r="K33" i="50"/>
  <c r="N33" i="50" s="1"/>
  <c r="B33" i="50"/>
  <c r="C33" i="50" s="1"/>
  <c r="AZ32" i="50"/>
  <c r="AU32" i="50"/>
  <c r="AV32" i="50" s="1"/>
  <c r="AE32" i="50"/>
  <c r="AB32" i="50"/>
  <c r="AO32" i="50" s="1"/>
  <c r="AP32" i="50" s="1"/>
  <c r="X32" i="50"/>
  <c r="AY32" i="50" s="1"/>
  <c r="W32" i="50"/>
  <c r="U32" i="50"/>
  <c r="S32" i="50"/>
  <c r="Q32" i="50"/>
  <c r="P32" i="50"/>
  <c r="AA32" i="50"/>
  <c r="K32" i="50"/>
  <c r="N32" i="50" s="1"/>
  <c r="B32" i="50"/>
  <c r="C32" i="50" s="1"/>
  <c r="AZ31" i="50"/>
  <c r="AU31" i="50"/>
  <c r="AV31" i="50" s="1"/>
  <c r="AE31" i="50"/>
  <c r="AB31" i="50"/>
  <c r="AO31" i="50" s="1"/>
  <c r="AP31" i="50" s="1"/>
  <c r="AA31" i="50"/>
  <c r="X31" i="50"/>
  <c r="AY31" i="50" s="1"/>
  <c r="W31" i="50"/>
  <c r="U31" i="50"/>
  <c r="S31" i="50"/>
  <c r="Q31" i="50"/>
  <c r="P31" i="50"/>
  <c r="M31" i="50"/>
  <c r="N31" i="50" s="1"/>
  <c r="K31" i="50"/>
  <c r="B31" i="50"/>
  <c r="C31" i="50" s="1"/>
  <c r="AZ30" i="50"/>
  <c r="AU30" i="50"/>
  <c r="AV30" i="50" s="1"/>
  <c r="AE30" i="50"/>
  <c r="AB30" i="50"/>
  <c r="AL30" i="50" s="1"/>
  <c r="AM30" i="50" s="1"/>
  <c r="AA30" i="50"/>
  <c r="X30" i="50"/>
  <c r="AY30" i="50" s="1"/>
  <c r="W30" i="50"/>
  <c r="U30" i="50"/>
  <c r="S30" i="50"/>
  <c r="Q30" i="50"/>
  <c r="P30" i="50"/>
  <c r="N30" i="50"/>
  <c r="M30" i="50"/>
  <c r="K30" i="50"/>
  <c r="B30" i="50"/>
  <c r="C30" i="50" s="1"/>
  <c r="AZ29" i="50"/>
  <c r="AV29" i="50"/>
  <c r="AU29" i="50"/>
  <c r="AE29" i="50"/>
  <c r="AB29" i="50"/>
  <c r="AO29" i="50" s="1"/>
  <c r="AP29" i="50" s="1"/>
  <c r="AA29" i="50"/>
  <c r="X29" i="50"/>
  <c r="AY29" i="50" s="1"/>
  <c r="W29" i="50"/>
  <c r="U29" i="50"/>
  <c r="S29" i="50"/>
  <c r="Q29" i="50"/>
  <c r="P29" i="50"/>
  <c r="M29" i="50"/>
  <c r="K29" i="50"/>
  <c r="N29" i="50" s="1"/>
  <c r="B29" i="50"/>
  <c r="C29" i="50" s="1"/>
  <c r="AZ28" i="50"/>
  <c r="AY28" i="50"/>
  <c r="AU28" i="50"/>
  <c r="AV28" i="50" s="1"/>
  <c r="AW28" i="50" s="1"/>
  <c r="AE28" i="50"/>
  <c r="AB28" i="50"/>
  <c r="AL28" i="50" s="1"/>
  <c r="AM28" i="50" s="1"/>
  <c r="U28" i="50"/>
  <c r="S28" i="50"/>
  <c r="Q28" i="50"/>
  <c r="P28" i="50"/>
  <c r="M28" i="50"/>
  <c r="K28" i="50"/>
  <c r="A28" i="50"/>
  <c r="C28" i="50" s="1"/>
  <c r="AZ27" i="50"/>
  <c r="AY27" i="50"/>
  <c r="AU27" i="50"/>
  <c r="AV27" i="50" s="1"/>
  <c r="AW27" i="50" s="1"/>
  <c r="AE27" i="50"/>
  <c r="AA27" i="50"/>
  <c r="U27" i="50"/>
  <c r="S27" i="50"/>
  <c r="Q27" i="50"/>
  <c r="P27" i="50"/>
  <c r="M27" i="50"/>
  <c r="K27" i="50"/>
  <c r="N27" i="50" s="1"/>
  <c r="A27" i="50"/>
  <c r="C27" i="50" s="1"/>
  <c r="AZ26" i="50"/>
  <c r="AY26" i="50"/>
  <c r="AU26" i="50"/>
  <c r="AV26" i="50" s="1"/>
  <c r="AW26" i="50" s="1"/>
  <c r="AE26" i="50"/>
  <c r="AB26" i="50"/>
  <c r="AL26" i="50" s="1"/>
  <c r="AM26" i="50" s="1"/>
  <c r="AA26" i="50"/>
  <c r="U26" i="50"/>
  <c r="S26" i="50"/>
  <c r="Q26" i="50"/>
  <c r="P26" i="50"/>
  <c r="M26" i="50"/>
  <c r="K26" i="50"/>
  <c r="N26" i="50" s="1"/>
  <c r="A26" i="50"/>
  <c r="C26" i="50" s="1"/>
  <c r="AZ25" i="50"/>
  <c r="AU25" i="50"/>
  <c r="AV25" i="50" s="1"/>
  <c r="AE25" i="50"/>
  <c r="AB25" i="50"/>
  <c r="AO25" i="50" s="1"/>
  <c r="AP25" i="50" s="1"/>
  <c r="AA25" i="50"/>
  <c r="X25" i="50"/>
  <c r="AY25" i="50" s="1"/>
  <c r="BA25" i="50" s="1"/>
  <c r="W25" i="50"/>
  <c r="U25" i="50"/>
  <c r="S25" i="50"/>
  <c r="Q25" i="50"/>
  <c r="P25" i="50"/>
  <c r="M25" i="50"/>
  <c r="K25" i="50"/>
  <c r="N25" i="50" s="1"/>
  <c r="B25" i="50"/>
  <c r="A25" i="50"/>
  <c r="AZ24" i="50"/>
  <c r="AY24" i="50"/>
  <c r="AU24" i="50"/>
  <c r="AV24" i="50" s="1"/>
  <c r="AW24" i="50" s="1"/>
  <c r="AE24" i="50"/>
  <c r="AB24" i="50"/>
  <c r="AL24" i="50" s="1"/>
  <c r="AM24" i="50" s="1"/>
  <c r="AA24" i="50"/>
  <c r="U24" i="50"/>
  <c r="S24" i="50"/>
  <c r="Q24" i="50"/>
  <c r="P24" i="50"/>
  <c r="N24" i="50"/>
  <c r="M24" i="50"/>
  <c r="C24" i="50"/>
  <c r="AZ23" i="50"/>
  <c r="AY23" i="50"/>
  <c r="AU23" i="50"/>
  <c r="AV23" i="50" s="1"/>
  <c r="AW23" i="50" s="1"/>
  <c r="AE23" i="50"/>
  <c r="AB23" i="50"/>
  <c r="AI23" i="50" s="1"/>
  <c r="AJ23" i="50" s="1"/>
  <c r="AA23" i="50"/>
  <c r="U23" i="50"/>
  <c r="S23" i="50"/>
  <c r="Q23" i="50"/>
  <c r="P23" i="50"/>
  <c r="N23" i="50"/>
  <c r="M23" i="50"/>
  <c r="C23" i="50"/>
  <c r="AZ22" i="50"/>
  <c r="AU22" i="50"/>
  <c r="AV22" i="50" s="1"/>
  <c r="AE22" i="50"/>
  <c r="AB22" i="50"/>
  <c r="AO22" i="50" s="1"/>
  <c r="AP22" i="50" s="1"/>
  <c r="X22" i="50"/>
  <c r="W22" i="50"/>
  <c r="U22" i="50"/>
  <c r="S22" i="50"/>
  <c r="Q22" i="50"/>
  <c r="Z22" i="50" s="1"/>
  <c r="AS22" i="50" s="1"/>
  <c r="P22" i="50"/>
  <c r="M22" i="50"/>
  <c r="K22" i="50"/>
  <c r="N22" i="50" s="1"/>
  <c r="B22" i="50"/>
  <c r="C22" i="50" s="1"/>
  <c r="AZ21" i="50"/>
  <c r="AU21" i="50"/>
  <c r="AV21" i="50" s="1"/>
  <c r="AE21" i="50"/>
  <c r="AB21" i="50"/>
  <c r="AL21" i="50" s="1"/>
  <c r="AM21" i="50" s="1"/>
  <c r="AA21" i="50"/>
  <c r="X21" i="50"/>
  <c r="AY21" i="50" s="1"/>
  <c r="W21" i="50"/>
  <c r="U21" i="50"/>
  <c r="S21" i="50"/>
  <c r="Q21" i="50"/>
  <c r="Z21" i="50" s="1"/>
  <c r="AS21" i="50" s="1"/>
  <c r="P21" i="50"/>
  <c r="M21" i="50"/>
  <c r="K21" i="50"/>
  <c r="N21" i="50" s="1"/>
  <c r="B21" i="50"/>
  <c r="C21" i="50" s="1"/>
  <c r="AZ20" i="50"/>
  <c r="AY20" i="50"/>
  <c r="BA20" i="50" s="1"/>
  <c r="AU20" i="50"/>
  <c r="AV20" i="50" s="1"/>
  <c r="AW20" i="50" s="1"/>
  <c r="AE20" i="50"/>
  <c r="AB20" i="50"/>
  <c r="AO20" i="50" s="1"/>
  <c r="AP20" i="50" s="1"/>
  <c r="AA20" i="50"/>
  <c r="U20" i="50"/>
  <c r="S20" i="50"/>
  <c r="Q20" i="50"/>
  <c r="Z20" i="50" s="1"/>
  <c r="AS20" i="50" s="1"/>
  <c r="P20" i="50"/>
  <c r="M20" i="50"/>
  <c r="K20" i="50"/>
  <c r="N20" i="50" s="1"/>
  <c r="B20" i="50"/>
  <c r="A20" i="50"/>
  <c r="AZ19" i="50"/>
  <c r="AU19" i="50"/>
  <c r="AV19" i="50" s="1"/>
  <c r="AE19" i="50"/>
  <c r="X19" i="50"/>
  <c r="AY19" i="50" s="1"/>
  <c r="W19" i="50"/>
  <c r="U19" i="50"/>
  <c r="S19" i="50"/>
  <c r="Z19" i="50" s="1"/>
  <c r="AS19" i="50" s="1"/>
  <c r="Q19" i="50"/>
  <c r="P19" i="50"/>
  <c r="K19" i="50"/>
  <c r="B19" i="50"/>
  <c r="C19" i="50" s="1"/>
  <c r="AZ18" i="50"/>
  <c r="AV18" i="50"/>
  <c r="AU18" i="50"/>
  <c r="AE18" i="50"/>
  <c r="AB18" i="50"/>
  <c r="AL18" i="50" s="1"/>
  <c r="AA18" i="50"/>
  <c r="X18" i="50"/>
  <c r="AY18" i="50" s="1"/>
  <c r="W18" i="50"/>
  <c r="S18" i="50"/>
  <c r="Q18" i="50"/>
  <c r="P18" i="50"/>
  <c r="M18" i="50"/>
  <c r="K18" i="50"/>
  <c r="N18" i="50" s="1"/>
  <c r="B18" i="50"/>
  <c r="A18" i="50"/>
  <c r="AZ17" i="50"/>
  <c r="AU17" i="50"/>
  <c r="AV17" i="50" s="1"/>
  <c r="AE17" i="50"/>
  <c r="X17" i="50"/>
  <c r="AY17" i="50" s="1"/>
  <c r="W17" i="50"/>
  <c r="U17" i="50"/>
  <c r="S17" i="50"/>
  <c r="Q17" i="50"/>
  <c r="P17" i="50"/>
  <c r="M17" i="50"/>
  <c r="AA17" i="50"/>
  <c r="K17" i="50"/>
  <c r="B17" i="50"/>
  <c r="C17" i="50" s="1"/>
  <c r="AZ16" i="50"/>
  <c r="AU16" i="50"/>
  <c r="AV16" i="50" s="1"/>
  <c r="AE16" i="50"/>
  <c r="AB16" i="50"/>
  <c r="AL16" i="50" s="1"/>
  <c r="AM16" i="50" s="1"/>
  <c r="AA16" i="50"/>
  <c r="X16" i="50"/>
  <c r="W16" i="50"/>
  <c r="U16" i="50"/>
  <c r="S16" i="50"/>
  <c r="Q16" i="50"/>
  <c r="P16" i="50"/>
  <c r="M16" i="50"/>
  <c r="K16" i="50"/>
  <c r="N16" i="50" s="1"/>
  <c r="B16" i="50"/>
  <c r="C16" i="50" s="1"/>
  <c r="AZ15" i="50"/>
  <c r="AU15" i="50"/>
  <c r="AV15" i="50" s="1"/>
  <c r="AE15" i="50"/>
  <c r="AB15" i="50"/>
  <c r="AI15" i="50" s="1"/>
  <c r="AA15" i="50"/>
  <c r="X15" i="50"/>
  <c r="W15" i="50"/>
  <c r="U15" i="50"/>
  <c r="S15" i="50"/>
  <c r="Q15" i="50"/>
  <c r="P15" i="50"/>
  <c r="M15" i="50"/>
  <c r="K15" i="50"/>
  <c r="N15" i="50" s="1"/>
  <c r="B15" i="50"/>
  <c r="A15" i="50"/>
  <c r="AZ14" i="50"/>
  <c r="AY14" i="50"/>
  <c r="BA14" i="50" s="1"/>
  <c r="AU14" i="50"/>
  <c r="AV14" i="50" s="1"/>
  <c r="AW14" i="50" s="1"/>
  <c r="AE14" i="50"/>
  <c r="U14" i="50"/>
  <c r="S14" i="50"/>
  <c r="Q14" i="50"/>
  <c r="P14" i="50"/>
  <c r="K14" i="50"/>
  <c r="B14" i="50"/>
  <c r="C14" i="50" s="1"/>
  <c r="AZ13" i="50"/>
  <c r="AY13" i="50"/>
  <c r="AU13" i="50"/>
  <c r="AV13" i="50" s="1"/>
  <c r="AW13" i="50" s="1"/>
  <c r="AE13" i="50"/>
  <c r="U13" i="50"/>
  <c r="S13" i="50"/>
  <c r="Q13" i="50"/>
  <c r="P13" i="50"/>
  <c r="K13" i="50"/>
  <c r="B13" i="50"/>
  <c r="C13" i="50" s="1"/>
  <c r="AZ12" i="50"/>
  <c r="AY12" i="50"/>
  <c r="AU12" i="50"/>
  <c r="AV12" i="50" s="1"/>
  <c r="AW12" i="50" s="1"/>
  <c r="AE12" i="50"/>
  <c r="AB12" i="50"/>
  <c r="AO12" i="50" s="1"/>
  <c r="AP12" i="50" s="1"/>
  <c r="AA12" i="50"/>
  <c r="U12" i="50"/>
  <c r="S12" i="50"/>
  <c r="Q12" i="50"/>
  <c r="Z12" i="50" s="1"/>
  <c r="AS12" i="50" s="1"/>
  <c r="P12" i="50"/>
  <c r="M12" i="50"/>
  <c r="K12" i="50"/>
  <c r="N12" i="50" s="1"/>
  <c r="B12" i="50"/>
  <c r="C12" i="50" s="1"/>
  <c r="AZ11" i="50"/>
  <c r="AY11" i="50"/>
  <c r="AU11" i="50"/>
  <c r="AV11" i="50" s="1"/>
  <c r="AW11" i="50" s="1"/>
  <c r="AE11" i="50"/>
  <c r="AB11" i="50"/>
  <c r="AO11" i="50" s="1"/>
  <c r="AP11" i="50" s="1"/>
  <c r="AA11" i="50"/>
  <c r="U11" i="50"/>
  <c r="S11" i="50"/>
  <c r="Q11" i="50"/>
  <c r="P11" i="50"/>
  <c r="M11" i="50"/>
  <c r="K11" i="50"/>
  <c r="N11" i="50" s="1"/>
  <c r="B11" i="50"/>
  <c r="C11" i="50" s="1"/>
  <c r="AZ10" i="50"/>
  <c r="AY10" i="50"/>
  <c r="AU10" i="50"/>
  <c r="AV10" i="50" s="1"/>
  <c r="AW10" i="50" s="1"/>
  <c r="AE10" i="50"/>
  <c r="AB10" i="50"/>
  <c r="AL10" i="50" s="1"/>
  <c r="AM10" i="50" s="1"/>
  <c r="AA10" i="50"/>
  <c r="U10" i="50"/>
  <c r="S10" i="50"/>
  <c r="Q10" i="50"/>
  <c r="P10" i="50"/>
  <c r="M10" i="50"/>
  <c r="K10" i="50"/>
  <c r="N10" i="50" s="1"/>
  <c r="B10" i="50"/>
  <c r="C10" i="50" s="1"/>
  <c r="AZ9" i="50"/>
  <c r="AU9" i="50"/>
  <c r="AV9" i="50" s="1"/>
  <c r="AE9" i="50"/>
  <c r="AB9" i="50"/>
  <c r="AO9" i="50" s="1"/>
  <c r="AP9" i="50" s="1"/>
  <c r="X9" i="50"/>
  <c r="AY9" i="50" s="1"/>
  <c r="W9" i="50"/>
  <c r="U9" i="50"/>
  <c r="S9" i="50"/>
  <c r="Q9" i="50"/>
  <c r="P9" i="50"/>
  <c r="K9" i="50"/>
  <c r="N9" i="50" s="1"/>
  <c r="B9" i="50"/>
  <c r="A9" i="50"/>
  <c r="AZ8" i="50"/>
  <c r="AY8" i="50"/>
  <c r="BA8" i="50" s="1"/>
  <c r="AU8" i="50"/>
  <c r="AV8" i="50" s="1"/>
  <c r="AW8" i="50" s="1"/>
  <c r="AE8" i="50"/>
  <c r="AB8" i="50"/>
  <c r="AL8" i="50" s="1"/>
  <c r="AM8" i="50" s="1"/>
  <c r="AA8" i="50"/>
  <c r="U8" i="50"/>
  <c r="S8" i="50"/>
  <c r="Q8" i="50"/>
  <c r="P8" i="50"/>
  <c r="K8" i="50"/>
  <c r="N8" i="50" s="1"/>
  <c r="B8" i="50"/>
  <c r="A8" i="50"/>
  <c r="AZ7" i="50"/>
  <c r="AU7" i="50"/>
  <c r="AV7" i="50" s="1"/>
  <c r="AE7" i="50"/>
  <c r="AI7" i="50"/>
  <c r="AA7" i="50"/>
  <c r="X7" i="50"/>
  <c r="AY7" i="50" s="1"/>
  <c r="W7" i="50"/>
  <c r="U7" i="50"/>
  <c r="S7" i="50"/>
  <c r="Q7" i="50"/>
  <c r="P7" i="50"/>
  <c r="M7" i="50"/>
  <c r="K7" i="50"/>
  <c r="N7" i="50" s="1"/>
  <c r="B7" i="50"/>
  <c r="C7" i="50" s="1"/>
  <c r="AZ6" i="50"/>
  <c r="AU6" i="50"/>
  <c r="AV6" i="50" s="1"/>
  <c r="AE6" i="50"/>
  <c r="X6" i="50"/>
  <c r="AY6" i="50" s="1"/>
  <c r="W6" i="50"/>
  <c r="U6" i="50"/>
  <c r="S6" i="50"/>
  <c r="Q6" i="50"/>
  <c r="P6" i="50"/>
  <c r="K6" i="50"/>
  <c r="B6" i="50"/>
  <c r="C6" i="50" s="1"/>
  <c r="AZ5" i="50"/>
  <c r="AU5" i="50"/>
  <c r="AV5" i="50" s="1"/>
  <c r="AE5" i="50"/>
  <c r="AB5" i="50"/>
  <c r="AO5" i="50" s="1"/>
  <c r="AA5" i="50"/>
  <c r="X5" i="50"/>
  <c r="BB5" i="50" s="1"/>
  <c r="W5" i="50"/>
  <c r="U5" i="50"/>
  <c r="S5" i="50"/>
  <c r="Q5" i="50"/>
  <c r="P5" i="50"/>
  <c r="M5" i="50"/>
  <c r="K5" i="50"/>
  <c r="N5" i="50" s="1"/>
  <c r="B5" i="50"/>
  <c r="L22" i="41"/>
  <c r="L14" i="41"/>
  <c r="L13" i="41"/>
  <c r="L26" i="41"/>
  <c r="L19" i="41"/>
  <c r="L6" i="41"/>
  <c r="AY5" i="41"/>
  <c r="AX23" i="41"/>
  <c r="AX24" i="41"/>
  <c r="AX26" i="41"/>
  <c r="AX27" i="41"/>
  <c r="AX28" i="41"/>
  <c r="AX40" i="41"/>
  <c r="AX41" i="41"/>
  <c r="AX42" i="41"/>
  <c r="AX43" i="41"/>
  <c r="AX44" i="41"/>
  <c r="AX45" i="41"/>
  <c r="AX49" i="41"/>
  <c r="AX51" i="41"/>
  <c r="AX54" i="41"/>
  <c r="AX20" i="41"/>
  <c r="AX8" i="41"/>
  <c r="AX10" i="41"/>
  <c r="AX11" i="41"/>
  <c r="AX12" i="41"/>
  <c r="AX13" i="41"/>
  <c r="AX14" i="41"/>
  <c r="AY6" i="41"/>
  <c r="AY7" i="41"/>
  <c r="AY8" i="41"/>
  <c r="AY9" i="41"/>
  <c r="AY10" i="41"/>
  <c r="AY11" i="41"/>
  <c r="AY12" i="41"/>
  <c r="AY13" i="41"/>
  <c r="AY14" i="41"/>
  <c r="AY15" i="41"/>
  <c r="AY16" i="41"/>
  <c r="AY17" i="41"/>
  <c r="AY18" i="41"/>
  <c r="AY19" i="41"/>
  <c r="AY20" i="41"/>
  <c r="AY21" i="41"/>
  <c r="AY22" i="41"/>
  <c r="AY23" i="41"/>
  <c r="AY24" i="41"/>
  <c r="AY25" i="41"/>
  <c r="AY26" i="41"/>
  <c r="AY27" i="41"/>
  <c r="AY28" i="41"/>
  <c r="AY29" i="41"/>
  <c r="AY30" i="41"/>
  <c r="AY31" i="41"/>
  <c r="AY32" i="41"/>
  <c r="AY33" i="41"/>
  <c r="AY34" i="41"/>
  <c r="AY35" i="41"/>
  <c r="AY36" i="41"/>
  <c r="AY37" i="41"/>
  <c r="AY38" i="41"/>
  <c r="AY39" i="41"/>
  <c r="AY40" i="41"/>
  <c r="AY41" i="41"/>
  <c r="AY42" i="41"/>
  <c r="AY43" i="41"/>
  <c r="AY44" i="41"/>
  <c r="AY45" i="41"/>
  <c r="AY46" i="41"/>
  <c r="AY47" i="41"/>
  <c r="AY48" i="41"/>
  <c r="AY49" i="41"/>
  <c r="AY50" i="41"/>
  <c r="AY51" i="41"/>
  <c r="AY52" i="41"/>
  <c r="AY53" i="41"/>
  <c r="AY54" i="41"/>
  <c r="AZ54" i="41" s="1"/>
  <c r="AY55" i="41"/>
  <c r="AY56" i="41"/>
  <c r="AY57" i="41"/>
  <c r="AP15" i="54" l="1"/>
  <c r="AS15" i="54" s="1"/>
  <c r="AP3" i="54"/>
  <c r="AQ10" i="54"/>
  <c r="AC10" i="54"/>
  <c r="AE10" i="54" s="1"/>
  <c r="AQ8" i="54"/>
  <c r="AC8" i="54"/>
  <c r="AE8" i="54" s="1"/>
  <c r="AT48" i="53"/>
  <c r="AI50" i="53"/>
  <c r="AD51" i="53" s="1"/>
  <c r="AD53" i="53" s="1"/>
  <c r="Z51" i="52"/>
  <c r="AQ27" i="52"/>
  <c r="AT27" i="52" s="1"/>
  <c r="AL11" i="52"/>
  <c r="AM11" i="52" s="1"/>
  <c r="AO11" i="52"/>
  <c r="AP11" i="52" s="1"/>
  <c r="AI11" i="52"/>
  <c r="AI10" i="52"/>
  <c r="AL10" i="52"/>
  <c r="AM10" i="52" s="1"/>
  <c r="AO10" i="52"/>
  <c r="AP10" i="52" s="1"/>
  <c r="AO48" i="52"/>
  <c r="AR34" i="52"/>
  <c r="AD34" i="52"/>
  <c r="AF34" i="52" s="1"/>
  <c r="AI2" i="52"/>
  <c r="AD25" i="52"/>
  <c r="AF25" i="52" s="1"/>
  <c r="AR25" i="52"/>
  <c r="AD7" i="52"/>
  <c r="AF7" i="52" s="1"/>
  <c r="AR7" i="52"/>
  <c r="AD22" i="52"/>
  <c r="AF22" i="52" s="1"/>
  <c r="AR22" i="52"/>
  <c r="AT5" i="52"/>
  <c r="AD41" i="52"/>
  <c r="AF41" i="52" s="1"/>
  <c r="AR41" i="52"/>
  <c r="AD20" i="52"/>
  <c r="AF20" i="52" s="1"/>
  <c r="AR20" i="52"/>
  <c r="AR28" i="52"/>
  <c r="AD28" i="52"/>
  <c r="AF28" i="52" s="1"/>
  <c r="AJ14" i="52"/>
  <c r="AQ14" i="52"/>
  <c r="AT14" i="52" s="1"/>
  <c r="AI48" i="52"/>
  <c r="AI51" i="52"/>
  <c r="AI55" i="52"/>
  <c r="AD46" i="52"/>
  <c r="AF46" i="52" s="1"/>
  <c r="AR46" i="52"/>
  <c r="AR27" i="52"/>
  <c r="AD27" i="52"/>
  <c r="AF27" i="52" s="1"/>
  <c r="AQ26" i="52"/>
  <c r="AT26" i="52" s="1"/>
  <c r="AJ26" i="52"/>
  <c r="AD12" i="52"/>
  <c r="AF12" i="52" s="1"/>
  <c r="AR12" i="52"/>
  <c r="AQ24" i="52"/>
  <c r="AT24" i="52" s="1"/>
  <c r="AJ24" i="52"/>
  <c r="AR43" i="52"/>
  <c r="AD43" i="52"/>
  <c r="AF43" i="52" s="1"/>
  <c r="AD5" i="52"/>
  <c r="AF5" i="52" s="1"/>
  <c r="AR5" i="52"/>
  <c r="AD29" i="52"/>
  <c r="AF29" i="52" s="1"/>
  <c r="AR29" i="52"/>
  <c r="AJ18" i="52"/>
  <c r="AQ18" i="52"/>
  <c r="AT18" i="52" s="1"/>
  <c r="AR13" i="52"/>
  <c r="AD13" i="52"/>
  <c r="AF13" i="52" s="1"/>
  <c r="BA31" i="50"/>
  <c r="Z18" i="50"/>
  <c r="AS18" i="50" s="1"/>
  <c r="AW38" i="50"/>
  <c r="BA9" i="50"/>
  <c r="Z29" i="50"/>
  <c r="AS29" i="50" s="1"/>
  <c r="Z31" i="50"/>
  <c r="AS31" i="50" s="1"/>
  <c r="Z46" i="50"/>
  <c r="AS46" i="50" s="1"/>
  <c r="AW31" i="50"/>
  <c r="Z35" i="50"/>
  <c r="AS35" i="50" s="1"/>
  <c r="AI46" i="50"/>
  <c r="AJ46" i="50" s="1"/>
  <c r="AD46" i="50" s="1"/>
  <c r="AF46" i="50" s="1"/>
  <c r="BA19" i="50"/>
  <c r="BA7" i="50"/>
  <c r="C18" i="50"/>
  <c r="AI18" i="50"/>
  <c r="AJ18" i="50" s="1"/>
  <c r="Z33" i="50"/>
  <c r="AS33" i="50" s="1"/>
  <c r="AW6" i="50"/>
  <c r="Z10" i="50"/>
  <c r="BA10" i="50"/>
  <c r="Z11" i="50"/>
  <c r="AS11" i="50" s="1"/>
  <c r="AW21" i="50"/>
  <c r="BA32" i="50"/>
  <c r="AW35" i="50"/>
  <c r="BA42" i="50"/>
  <c r="BA21" i="50"/>
  <c r="AW25" i="50"/>
  <c r="BA46" i="50"/>
  <c r="AO46" i="50"/>
  <c r="AP46" i="50" s="1"/>
  <c r="Z47" i="50"/>
  <c r="AS47" i="50" s="1"/>
  <c r="Z5" i="50"/>
  <c r="Z8" i="50"/>
  <c r="AS8" i="50" s="1"/>
  <c r="C25" i="50"/>
  <c r="BA12" i="50"/>
  <c r="Z15" i="50"/>
  <c r="AS15" i="50" s="1"/>
  <c r="AW19" i="50"/>
  <c r="AI29" i="50"/>
  <c r="AW46" i="50"/>
  <c r="BB6" i="50"/>
  <c r="BA45" i="50"/>
  <c r="BA17" i="50"/>
  <c r="Z25" i="50"/>
  <c r="AS25" i="50" s="1"/>
  <c r="BA28" i="50"/>
  <c r="AW47" i="50"/>
  <c r="C15" i="50"/>
  <c r="Z23" i="50"/>
  <c r="AS23" i="50" s="1"/>
  <c r="BA36" i="50"/>
  <c r="AW22" i="50"/>
  <c r="B3" i="50"/>
  <c r="BA6" i="50"/>
  <c r="Z7" i="50"/>
  <c r="AS7" i="50" s="1"/>
  <c r="BA11" i="50"/>
  <c r="AW16" i="50"/>
  <c r="AI21" i="50"/>
  <c r="AJ21" i="50" s="1"/>
  <c r="AD21" i="50" s="1"/>
  <c r="AF21" i="50" s="1"/>
  <c r="Z24" i="50"/>
  <c r="AS24" i="50" s="1"/>
  <c r="AI25" i="50"/>
  <c r="AQ25" i="50" s="1"/>
  <c r="Z26" i="50"/>
  <c r="AS26" i="50" s="1"/>
  <c r="Z40" i="50"/>
  <c r="AS40" i="50" s="1"/>
  <c r="Z44" i="50"/>
  <c r="AS44" i="50" s="1"/>
  <c r="AY22" i="50"/>
  <c r="BA22" i="50" s="1"/>
  <c r="C8" i="50"/>
  <c r="AW9" i="50"/>
  <c r="AO21" i="50"/>
  <c r="AP21" i="50" s="1"/>
  <c r="AL25" i="50"/>
  <c r="AM25" i="50" s="1"/>
  <c r="BA26" i="50"/>
  <c r="BA27" i="50"/>
  <c r="Z30" i="50"/>
  <c r="AS30" i="50" s="1"/>
  <c r="AW33" i="50"/>
  <c r="Z36" i="50"/>
  <c r="AS36" i="50" s="1"/>
  <c r="BA41" i="50"/>
  <c r="BA44" i="50"/>
  <c r="AY5" i="50"/>
  <c r="BA5" i="50" s="1"/>
  <c r="C9" i="50"/>
  <c r="BA13" i="50"/>
  <c r="Z16" i="50"/>
  <c r="AS16" i="50" s="1"/>
  <c r="BA18" i="50"/>
  <c r="BA24" i="50"/>
  <c r="AW29" i="50"/>
  <c r="Z34" i="50"/>
  <c r="AS34" i="50" s="1"/>
  <c r="Z45" i="50"/>
  <c r="AS45" i="50" s="1"/>
  <c r="AI11" i="50"/>
  <c r="AJ11" i="50" s="1"/>
  <c r="AI40" i="50"/>
  <c r="AJ40" i="50" s="1"/>
  <c r="AI10" i="50"/>
  <c r="AJ10" i="50" s="1"/>
  <c r="AO15" i="50"/>
  <c r="AP15" i="50" s="1"/>
  <c r="AO35" i="50"/>
  <c r="AP35" i="50" s="1"/>
  <c r="AI47" i="50"/>
  <c r="AJ47" i="50" s="1"/>
  <c r="AO34" i="50"/>
  <c r="AP34" i="50" s="1"/>
  <c r="AI37" i="50"/>
  <c r="AJ37" i="50" s="1"/>
  <c r="AO7" i="50"/>
  <c r="AP7" i="50" s="1"/>
  <c r="AI33" i="50"/>
  <c r="AJ33" i="50" s="1"/>
  <c r="AI35" i="50"/>
  <c r="AL12" i="50"/>
  <c r="AM12" i="50" s="1"/>
  <c r="AO37" i="50"/>
  <c r="AP37" i="50" s="1"/>
  <c r="AI45" i="50"/>
  <c r="AJ45" i="50" s="1"/>
  <c r="AO10" i="50"/>
  <c r="AP10" i="50" s="1"/>
  <c r="AL11" i="50"/>
  <c r="AM11" i="50" s="1"/>
  <c r="AR11" i="50" s="1"/>
  <c r="AA14" i="50"/>
  <c r="N14" i="50"/>
  <c r="Z14" i="50"/>
  <c r="AS14" i="50" s="1"/>
  <c r="AB14" i="50"/>
  <c r="M14" i="50"/>
  <c r="N6" i="50"/>
  <c r="M6" i="50"/>
  <c r="AA6" i="50"/>
  <c r="Z6" i="50"/>
  <c r="AS6" i="50" s="1"/>
  <c r="AB6" i="50"/>
  <c r="AR10" i="50"/>
  <c r="AB13" i="50"/>
  <c r="AA13" i="50"/>
  <c r="N13" i="50"/>
  <c r="Z13" i="50"/>
  <c r="AS13" i="50" s="1"/>
  <c r="M13" i="50"/>
  <c r="AS10" i="50"/>
  <c r="AS5" i="50"/>
  <c r="AP5" i="50"/>
  <c r="AJ7" i="50"/>
  <c r="AL5" i="50"/>
  <c r="AL7" i="50"/>
  <c r="AM7" i="50" s="1"/>
  <c r="Z9" i="50"/>
  <c r="AS9" i="50" s="1"/>
  <c r="AI9" i="50"/>
  <c r="AI5" i="50"/>
  <c r="AW5" i="50"/>
  <c r="M8" i="50"/>
  <c r="AI8" i="50"/>
  <c r="AA9" i="50"/>
  <c r="AI12" i="50"/>
  <c r="AL15" i="50"/>
  <c r="AM15" i="50" s="1"/>
  <c r="AM18" i="50"/>
  <c r="C20" i="50"/>
  <c r="AL22" i="50"/>
  <c r="AM22" i="50" s="1"/>
  <c r="BA23" i="50"/>
  <c r="AI26" i="50"/>
  <c r="AO26" i="50"/>
  <c r="AP26" i="50" s="1"/>
  <c r="AW30" i="50"/>
  <c r="Z38" i="50"/>
  <c r="AS38" i="50" s="1"/>
  <c r="AO38" i="50"/>
  <c r="AP38" i="50" s="1"/>
  <c r="AI38" i="50"/>
  <c r="AL38" i="50"/>
  <c r="AM38" i="50" s="1"/>
  <c r="AL9" i="50"/>
  <c r="AM9" i="50" s="1"/>
  <c r="C5" i="50"/>
  <c r="AW7" i="50"/>
  <c r="M9" i="50"/>
  <c r="AJ15" i="50"/>
  <c r="AL32" i="50"/>
  <c r="AM32" i="50" s="1"/>
  <c r="AI32" i="50"/>
  <c r="AA39" i="50"/>
  <c r="Z39" i="50"/>
  <c r="AS39" i="50" s="1"/>
  <c r="AB39" i="50"/>
  <c r="N39" i="50"/>
  <c r="AO16" i="50"/>
  <c r="AP16" i="50" s="1"/>
  <c r="AI16" i="50"/>
  <c r="AI43" i="50"/>
  <c r="AO43" i="50"/>
  <c r="AP43" i="50" s="1"/>
  <c r="AL43" i="50"/>
  <c r="AM43" i="50" s="1"/>
  <c r="AO8" i="50"/>
  <c r="AP8" i="50" s="1"/>
  <c r="Z17" i="50"/>
  <c r="AS17" i="50" s="1"/>
  <c r="N17" i="50"/>
  <c r="AB17" i="50"/>
  <c r="AW18" i="50"/>
  <c r="AB19" i="50"/>
  <c r="N19" i="50"/>
  <c r="M19" i="50"/>
  <c r="AA19" i="50"/>
  <c r="AI20" i="50"/>
  <c r="AL20" i="50"/>
  <c r="AM20" i="50" s="1"/>
  <c r="Z27" i="50"/>
  <c r="AS27" i="50" s="1"/>
  <c r="AA28" i="50"/>
  <c r="N28" i="50"/>
  <c r="Z28" i="50"/>
  <c r="AS28" i="50" s="1"/>
  <c r="AJ29" i="50"/>
  <c r="BA29" i="50"/>
  <c r="BA30" i="50"/>
  <c r="AW36" i="50"/>
  <c r="AY37" i="50"/>
  <c r="BA37" i="50" s="1"/>
  <c r="AW37" i="50"/>
  <c r="M39" i="50"/>
  <c r="AY15" i="50"/>
  <c r="BA15" i="50" s="1"/>
  <c r="AW15" i="50"/>
  <c r="AY16" i="50"/>
  <c r="BA16" i="50" s="1"/>
  <c r="AW17" i="50"/>
  <c r="AI22" i="50"/>
  <c r="AL23" i="50"/>
  <c r="AM23" i="50" s="1"/>
  <c r="AO23" i="50"/>
  <c r="AP23" i="50" s="1"/>
  <c r="AI24" i="50"/>
  <c r="AO24" i="50"/>
  <c r="AP24" i="50" s="1"/>
  <c r="AO28" i="50"/>
  <c r="AP28" i="50" s="1"/>
  <c r="AI28" i="50"/>
  <c r="AO18" i="50"/>
  <c r="AP18" i="50" s="1"/>
  <c r="BB19" i="50"/>
  <c r="AA22" i="50"/>
  <c r="AB27" i="50"/>
  <c r="AO30" i="50"/>
  <c r="AP30" i="50" s="1"/>
  <c r="AL29" i="50"/>
  <c r="AM29" i="50" s="1"/>
  <c r="AI30" i="50"/>
  <c r="AI31" i="50"/>
  <c r="Z32" i="50"/>
  <c r="AS32" i="50" s="1"/>
  <c r="AL33" i="50"/>
  <c r="AM33" i="50" s="1"/>
  <c r="AW34" i="50"/>
  <c r="AI44" i="50"/>
  <c r="AO44" i="50"/>
  <c r="AP44" i="50" s="1"/>
  <c r="M32" i="50"/>
  <c r="BA33" i="50"/>
  <c r="BA43" i="50"/>
  <c r="AL31" i="50"/>
  <c r="AM31" i="50" s="1"/>
  <c r="AW32" i="50"/>
  <c r="AR46" i="50"/>
  <c r="AI34" i="50"/>
  <c r="AI36" i="50"/>
  <c r="AY39" i="50"/>
  <c r="BA39" i="50" s="1"/>
  <c r="AW39" i="50"/>
  <c r="Z43" i="50"/>
  <c r="AS43" i="50" s="1"/>
  <c r="Z41" i="50"/>
  <c r="AS41" i="50" s="1"/>
  <c r="M41" i="50"/>
  <c r="AB41" i="50"/>
  <c r="AA41" i="50"/>
  <c r="AL36" i="50"/>
  <c r="AM36" i="50" s="1"/>
  <c r="N41" i="50"/>
  <c r="AB42" i="50"/>
  <c r="AA42" i="50"/>
  <c r="N42" i="50"/>
  <c r="Z42" i="50"/>
  <c r="AS42" i="50" s="1"/>
  <c r="M42" i="50"/>
  <c r="AO40" i="50"/>
  <c r="AP40" i="50" s="1"/>
  <c r="AO45" i="50"/>
  <c r="AP45" i="50" s="1"/>
  <c r="AO47" i="50"/>
  <c r="AP47" i="50" s="1"/>
  <c r="AZ14" i="41"/>
  <c r="AZ44" i="41"/>
  <c r="AZ26" i="41"/>
  <c r="AZ42" i="41"/>
  <c r="AZ45" i="41"/>
  <c r="AZ10" i="41"/>
  <c r="AZ49" i="41"/>
  <c r="AZ27" i="41"/>
  <c r="AZ24" i="41"/>
  <c r="AZ20" i="41"/>
  <c r="AZ12" i="41"/>
  <c r="AZ51" i="41"/>
  <c r="AZ40" i="41"/>
  <c r="AZ23" i="41"/>
  <c r="AZ8" i="41"/>
  <c r="AZ28" i="41"/>
  <c r="AZ11" i="41"/>
  <c r="AZ41" i="41"/>
  <c r="AZ43" i="41"/>
  <c r="AZ13" i="41"/>
  <c r="AH17" i="54" l="1"/>
  <c r="AE21" i="54" s="1"/>
  <c r="AH21" i="54"/>
  <c r="AI52" i="53"/>
  <c r="AI54" i="53"/>
  <c r="AF54" i="53"/>
  <c r="AQ11" i="52"/>
  <c r="AT11" i="52" s="1"/>
  <c r="AJ11" i="52"/>
  <c r="AJ10" i="52"/>
  <c r="AQ10" i="52"/>
  <c r="AT10" i="52" s="1"/>
  <c r="AL48" i="52"/>
  <c r="AL2" i="52"/>
  <c r="AO2" i="52"/>
  <c r="AR14" i="52"/>
  <c r="AD14" i="52"/>
  <c r="AF14" i="52" s="1"/>
  <c r="AR26" i="52"/>
  <c r="AD26" i="52"/>
  <c r="AF26" i="52" s="1"/>
  <c r="AQ48" i="52"/>
  <c r="AD18" i="52"/>
  <c r="AF18" i="52" s="1"/>
  <c r="AR18" i="52"/>
  <c r="AD24" i="52"/>
  <c r="AF24" i="52" s="1"/>
  <c r="AR24" i="52"/>
  <c r="AQ3" i="52"/>
  <c r="AJ25" i="50"/>
  <c r="AQ46" i="50"/>
  <c r="AT46" i="50" s="1"/>
  <c r="AR21" i="50"/>
  <c r="AT25" i="50"/>
  <c r="AD10" i="50"/>
  <c r="AF10" i="50" s="1"/>
  <c r="AQ21" i="50"/>
  <c r="AT21" i="50" s="1"/>
  <c r="AQ37" i="50"/>
  <c r="AT37" i="50" s="1"/>
  <c r="Z57" i="50"/>
  <c r="AD11" i="50"/>
  <c r="AF11" i="50" s="1"/>
  <c r="AD47" i="50"/>
  <c r="AF47" i="50" s="1"/>
  <c r="AQ45" i="50"/>
  <c r="AT45" i="50" s="1"/>
  <c r="AR23" i="50"/>
  <c r="AQ29" i="50"/>
  <c r="AT29" i="50" s="1"/>
  <c r="AR47" i="50"/>
  <c r="AD23" i="50"/>
  <c r="AF23" i="50" s="1"/>
  <c r="AQ35" i="50"/>
  <c r="AT35" i="50" s="1"/>
  <c r="AQ10" i="50"/>
  <c r="AT10" i="50" s="1"/>
  <c r="AR40" i="50"/>
  <c r="AQ15" i="50"/>
  <c r="AT15" i="50" s="1"/>
  <c r="N48" i="50"/>
  <c r="AD45" i="50"/>
  <c r="AF45" i="50" s="1"/>
  <c r="AQ47" i="50"/>
  <c r="AT47" i="50" s="1"/>
  <c r="AQ11" i="50"/>
  <c r="AT11" i="50" s="1"/>
  <c r="AR18" i="50"/>
  <c r="AJ35" i="50"/>
  <c r="AR35" i="50" s="1"/>
  <c r="AB3" i="50"/>
  <c r="AA48" i="50"/>
  <c r="AR7" i="50"/>
  <c r="AD7" i="50"/>
  <c r="AF7" i="50" s="1"/>
  <c r="Z58" i="50"/>
  <c r="AD40" i="50"/>
  <c r="AF40" i="50" s="1"/>
  <c r="AO14" i="50"/>
  <c r="AP14" i="50" s="1"/>
  <c r="AI14" i="50"/>
  <c r="AL14" i="50"/>
  <c r="AM14" i="50" s="1"/>
  <c r="AQ34" i="50"/>
  <c r="AT34" i="50" s="1"/>
  <c r="AJ34" i="50"/>
  <c r="Z55" i="50"/>
  <c r="AL19" i="50"/>
  <c r="AM19" i="50" s="1"/>
  <c r="AI19" i="50"/>
  <c r="AO19" i="50"/>
  <c r="AP19" i="50" s="1"/>
  <c r="AJ43" i="50"/>
  <c r="AQ43" i="50"/>
  <c r="AT43" i="50" s="1"/>
  <c r="AO39" i="50"/>
  <c r="AP39" i="50" s="1"/>
  <c r="AL39" i="50"/>
  <c r="AM39" i="50" s="1"/>
  <c r="AI39" i="50"/>
  <c r="AR15" i="50"/>
  <c r="AD15" i="50"/>
  <c r="AF15" i="50" s="1"/>
  <c r="AD33" i="50"/>
  <c r="AF33" i="50" s="1"/>
  <c r="AR33" i="50"/>
  <c r="AQ9" i="50"/>
  <c r="AT9" i="50" s="1"/>
  <c r="AJ9" i="50"/>
  <c r="AQ7" i="50"/>
  <c r="AT7" i="50" s="1"/>
  <c r="Z3" i="50"/>
  <c r="AO42" i="50"/>
  <c r="AP42" i="50" s="1"/>
  <c r="AL42" i="50"/>
  <c r="AM42" i="50" s="1"/>
  <c r="AI42" i="50"/>
  <c r="AQ22" i="50"/>
  <c r="AT22" i="50" s="1"/>
  <c r="AJ22" i="50"/>
  <c r="AQ20" i="50"/>
  <c r="AT20" i="50" s="1"/>
  <c r="AJ20" i="50"/>
  <c r="AQ16" i="50"/>
  <c r="AT16" i="50" s="1"/>
  <c r="AJ16" i="50"/>
  <c r="AR25" i="50"/>
  <c r="AD25" i="50"/>
  <c r="AF25" i="50" s="1"/>
  <c r="AD18" i="50"/>
  <c r="AF18" i="50" s="1"/>
  <c r="AM5" i="50"/>
  <c r="AQ18" i="50"/>
  <c r="AT18" i="50" s="1"/>
  <c r="AJ31" i="50"/>
  <c r="AQ31" i="50"/>
  <c r="AT31" i="50" s="1"/>
  <c r="AJ30" i="50"/>
  <c r="AQ30" i="50"/>
  <c r="AT30" i="50" s="1"/>
  <c r="AI17" i="50"/>
  <c r="AL17" i="50"/>
  <c r="AM17" i="50" s="1"/>
  <c r="AO17" i="50"/>
  <c r="AP17" i="50" s="1"/>
  <c r="AJ8" i="50"/>
  <c r="AQ8" i="50"/>
  <c r="AT8" i="50" s="1"/>
  <c r="AQ40" i="50"/>
  <c r="AT40" i="50" s="1"/>
  <c r="AJ44" i="50"/>
  <c r="AQ44" i="50"/>
  <c r="AT44" i="50" s="1"/>
  <c r="AD35" i="50"/>
  <c r="AF35" i="50" s="1"/>
  <c r="AI41" i="50"/>
  <c r="AO41" i="50"/>
  <c r="AP41" i="50" s="1"/>
  <c r="AL41" i="50"/>
  <c r="AM41" i="50" s="1"/>
  <c r="AR45" i="50"/>
  <c r="AQ24" i="50"/>
  <c r="AT24" i="50" s="1"/>
  <c r="AJ24" i="50"/>
  <c r="AR37" i="50"/>
  <c r="AD37" i="50"/>
  <c r="AF37" i="50" s="1"/>
  <c r="AQ23" i="50"/>
  <c r="AT23" i="50" s="1"/>
  <c r="AQ26" i="50"/>
  <c r="AT26" i="50" s="1"/>
  <c r="AJ26" i="50"/>
  <c r="AQ33" i="50"/>
  <c r="AT33" i="50" s="1"/>
  <c r="AI13" i="50"/>
  <c r="AO13" i="50"/>
  <c r="AP13" i="50" s="1"/>
  <c r="AL13" i="50"/>
  <c r="AM13" i="50" s="1"/>
  <c r="AJ28" i="50"/>
  <c r="AQ28" i="50"/>
  <c r="AT28" i="50" s="1"/>
  <c r="AD29" i="50"/>
  <c r="AF29" i="50" s="1"/>
  <c r="AR29" i="50"/>
  <c r="Z48" i="50"/>
  <c r="AB48" i="50"/>
  <c r="AO6" i="50"/>
  <c r="AI6" i="50"/>
  <c r="AL6" i="50"/>
  <c r="AM6" i="50" s="1"/>
  <c r="AQ36" i="50"/>
  <c r="AT36" i="50" s="1"/>
  <c r="AJ36" i="50"/>
  <c r="AL27" i="50"/>
  <c r="AM27" i="50" s="1"/>
  <c r="AI27" i="50"/>
  <c r="AO27" i="50"/>
  <c r="AP27" i="50" s="1"/>
  <c r="AQ32" i="50"/>
  <c r="AT32" i="50" s="1"/>
  <c r="AJ32" i="50"/>
  <c r="AJ38" i="50"/>
  <c r="AQ38" i="50"/>
  <c r="AT38" i="50" s="1"/>
  <c r="AJ12" i="50"/>
  <c r="AQ12" i="50"/>
  <c r="AT12" i="50" s="1"/>
  <c r="AJ5" i="50"/>
  <c r="AQ5" i="50"/>
  <c r="AS48" i="50"/>
  <c r="Z56" i="50"/>
  <c r="L51" i="41"/>
  <c r="L49" i="41"/>
  <c r="L50" i="41"/>
  <c r="L24" i="41"/>
  <c r="L8" i="41"/>
  <c r="L42" i="41"/>
  <c r="L41" i="41"/>
  <c r="AH19" i="54" l="1"/>
  <c r="AD10" i="52"/>
  <c r="AF10" i="52" s="1"/>
  <c r="AR10" i="52"/>
  <c r="AR11" i="52"/>
  <c r="AD11" i="52"/>
  <c r="AF11" i="52" s="1"/>
  <c r="AT48" i="52"/>
  <c r="AI50" i="52"/>
  <c r="AI2" i="50"/>
  <c r="AR26" i="50"/>
  <c r="AD26" i="50"/>
  <c r="AF26" i="50" s="1"/>
  <c r="AR38" i="50"/>
  <c r="AD38" i="50"/>
  <c r="AF38" i="50" s="1"/>
  <c r="AD12" i="50"/>
  <c r="AF12" i="50" s="1"/>
  <c r="AR12" i="50"/>
  <c r="AR24" i="50"/>
  <c r="AD24" i="50"/>
  <c r="AF24" i="50" s="1"/>
  <c r="AL2" i="50"/>
  <c r="AD9" i="50"/>
  <c r="AF9" i="50" s="1"/>
  <c r="AR9" i="50"/>
  <c r="AJ39" i="50"/>
  <c r="AQ39" i="50"/>
  <c r="AT39" i="50" s="1"/>
  <c r="AQ19" i="50"/>
  <c r="AT19" i="50" s="1"/>
  <c r="AJ19" i="50"/>
  <c r="AQ6" i="50"/>
  <c r="AT6" i="50" s="1"/>
  <c r="AJ6" i="50"/>
  <c r="AR5" i="50"/>
  <c r="AD5" i="50"/>
  <c r="AF5" i="50" s="1"/>
  <c r="AJ27" i="50"/>
  <c r="AQ27" i="50"/>
  <c r="AT27" i="50" s="1"/>
  <c r="AR31" i="50"/>
  <c r="AD31" i="50"/>
  <c r="AF31" i="50" s="1"/>
  <c r="AR20" i="50"/>
  <c r="AD20" i="50"/>
  <c r="AF20" i="50" s="1"/>
  <c r="AL48" i="50"/>
  <c r="AJ42" i="50"/>
  <c r="AQ42" i="50"/>
  <c r="AT42" i="50" s="1"/>
  <c r="AR28" i="50"/>
  <c r="AD28" i="50"/>
  <c r="AF28" i="50" s="1"/>
  <c r="AD8" i="50"/>
  <c r="AF8" i="50" s="1"/>
  <c r="AR8" i="50"/>
  <c r="AI51" i="50"/>
  <c r="AI55" i="50"/>
  <c r="AD43" i="50"/>
  <c r="AF43" i="50" s="1"/>
  <c r="AR43" i="50"/>
  <c r="Z59" i="50"/>
  <c r="AQ41" i="50"/>
  <c r="AT41" i="50" s="1"/>
  <c r="AJ41" i="50"/>
  <c r="AR30" i="50"/>
  <c r="AD30" i="50"/>
  <c r="AF30" i="50" s="1"/>
  <c r="AT5" i="50"/>
  <c r="AP6" i="50"/>
  <c r="AO48" i="50"/>
  <c r="AO2" i="50"/>
  <c r="AD34" i="50"/>
  <c r="AF34" i="50" s="1"/>
  <c r="AR34" i="50"/>
  <c r="AI48" i="50"/>
  <c r="AR36" i="50"/>
  <c r="AD36" i="50"/>
  <c r="AF36" i="50" s="1"/>
  <c r="AR32" i="50"/>
  <c r="AD32" i="50"/>
  <c r="AF32" i="50" s="1"/>
  <c r="AQ13" i="50"/>
  <c r="AT13" i="50" s="1"/>
  <c r="AJ13" i="50"/>
  <c r="AD44" i="50"/>
  <c r="AF44" i="50" s="1"/>
  <c r="AR44" i="50"/>
  <c r="AQ17" i="50"/>
  <c r="AT17" i="50" s="1"/>
  <c r="AJ17" i="50"/>
  <c r="AD16" i="50"/>
  <c r="AF16" i="50" s="1"/>
  <c r="AR16" i="50"/>
  <c r="AD22" i="50"/>
  <c r="AF22" i="50" s="1"/>
  <c r="AR22" i="50"/>
  <c r="AJ14" i="50"/>
  <c r="AQ14" i="50"/>
  <c r="AT14" i="50" s="1"/>
  <c r="AD24" i="41"/>
  <c r="AD26" i="41"/>
  <c r="AD27" i="41"/>
  <c r="AD28" i="41"/>
  <c r="AT26" i="41"/>
  <c r="AU26" i="41" s="1"/>
  <c r="AV26" i="41" s="1"/>
  <c r="AT27" i="41"/>
  <c r="AU27" i="41" s="1"/>
  <c r="AV27" i="41" s="1"/>
  <c r="AT28" i="41"/>
  <c r="AU28" i="41" s="1"/>
  <c r="AV28" i="41" s="1"/>
  <c r="AT24" i="41"/>
  <c r="AU24" i="41" s="1"/>
  <c r="AV24" i="41" s="1"/>
  <c r="AD8" i="41"/>
  <c r="AT8" i="41"/>
  <c r="AU8" i="41" s="1"/>
  <c r="AV8" i="41" s="1"/>
  <c r="L27" i="41"/>
  <c r="AA27" i="41" s="1"/>
  <c r="AH27" i="41" s="1"/>
  <c r="AI27" i="41" s="1"/>
  <c r="L28" i="41"/>
  <c r="AA28" i="41" s="1"/>
  <c r="AH28" i="41" s="1"/>
  <c r="AI28" i="41" s="1"/>
  <c r="Z26" i="41"/>
  <c r="Z25" i="41"/>
  <c r="U26" i="41"/>
  <c r="U27" i="41"/>
  <c r="U28" i="41"/>
  <c r="S26" i="41"/>
  <c r="S27" i="41"/>
  <c r="S28" i="41"/>
  <c r="Q26" i="41"/>
  <c r="Q27" i="41"/>
  <c r="Q28" i="41"/>
  <c r="P26" i="41"/>
  <c r="P27" i="41"/>
  <c r="P28" i="41"/>
  <c r="K26" i="41"/>
  <c r="K27" i="41"/>
  <c r="K28" i="41"/>
  <c r="A28" i="41"/>
  <c r="C28" i="41" s="1"/>
  <c r="A27" i="41"/>
  <c r="C27" i="41" s="1"/>
  <c r="A26" i="41"/>
  <c r="C26" i="41" s="1"/>
  <c r="AT51" i="41"/>
  <c r="AU51" i="41" s="1"/>
  <c r="AD51" i="41"/>
  <c r="U51" i="41"/>
  <c r="S51" i="41"/>
  <c r="Q51" i="41"/>
  <c r="P51" i="41"/>
  <c r="AA51" i="41"/>
  <c r="K51" i="41"/>
  <c r="B51" i="41"/>
  <c r="C51" i="41" s="1"/>
  <c r="A51" i="41"/>
  <c r="AT49" i="41"/>
  <c r="AU49" i="41" s="1"/>
  <c r="AD49" i="41"/>
  <c r="U49" i="41"/>
  <c r="S49" i="41"/>
  <c r="Q49" i="41"/>
  <c r="P49" i="41"/>
  <c r="AA49" i="41"/>
  <c r="K49" i="41"/>
  <c r="B49" i="41"/>
  <c r="C49" i="41" s="1"/>
  <c r="A49" i="41"/>
  <c r="AI54" i="52" l="1"/>
  <c r="AF54" i="52"/>
  <c r="AI52" i="52"/>
  <c r="AR17" i="50"/>
  <c r="AD17" i="50"/>
  <c r="AF17" i="50" s="1"/>
  <c r="AQ48" i="50"/>
  <c r="AD27" i="50"/>
  <c r="AF27" i="50" s="1"/>
  <c r="AR27" i="50"/>
  <c r="AR42" i="50"/>
  <c r="AD42" i="50"/>
  <c r="AF42" i="50" s="1"/>
  <c r="AR19" i="50"/>
  <c r="AD19" i="50"/>
  <c r="AF19" i="50" s="1"/>
  <c r="AD41" i="50"/>
  <c r="AF41" i="50" s="1"/>
  <c r="AR41" i="50"/>
  <c r="AQ3" i="50"/>
  <c r="AR39" i="50"/>
  <c r="AD39" i="50"/>
  <c r="AF39" i="50" s="1"/>
  <c r="AD13" i="50"/>
  <c r="AF13" i="50" s="1"/>
  <c r="AR13" i="50"/>
  <c r="AR14" i="50"/>
  <c r="AD14" i="50"/>
  <c r="AF14" i="50" s="1"/>
  <c r="AR6" i="50"/>
  <c r="AD6" i="50"/>
  <c r="AF6" i="50" s="1"/>
  <c r="N27" i="41"/>
  <c r="M28" i="41"/>
  <c r="AK28" i="41"/>
  <c r="AL28" i="41" s="1"/>
  <c r="M26" i="41"/>
  <c r="AN28" i="41"/>
  <c r="AO28" i="41" s="1"/>
  <c r="AK27" i="41"/>
  <c r="AL27" i="41" s="1"/>
  <c r="N26" i="41"/>
  <c r="AA26" i="41"/>
  <c r="Z28" i="41"/>
  <c r="AN27" i="41"/>
  <c r="AO27" i="41" s="1"/>
  <c r="Z27" i="41"/>
  <c r="N28" i="41"/>
  <c r="Y28" i="41"/>
  <c r="AR28" i="41" s="1"/>
  <c r="Y27" i="41"/>
  <c r="AR27" i="41" s="1"/>
  <c r="Y26" i="41"/>
  <c r="AR26" i="41" s="1"/>
  <c r="M27" i="41"/>
  <c r="N51" i="41"/>
  <c r="M51" i="41"/>
  <c r="AH51" i="41"/>
  <c r="AI51" i="41" s="1"/>
  <c r="AN51" i="41"/>
  <c r="AO51" i="41" s="1"/>
  <c r="Y51" i="41"/>
  <c r="AR51" i="41" s="1"/>
  <c r="AV51" i="41"/>
  <c r="Z51" i="41"/>
  <c r="AK51" i="41"/>
  <c r="AL51" i="41" s="1"/>
  <c r="AK49" i="41"/>
  <c r="AL49" i="41" s="1"/>
  <c r="AH49" i="41"/>
  <c r="AN49" i="41"/>
  <c r="AO49" i="41" s="1"/>
  <c r="AV49" i="41"/>
  <c r="M49" i="41"/>
  <c r="N49" i="41"/>
  <c r="Y49" i="41"/>
  <c r="AR49" i="41" s="1"/>
  <c r="Z49" i="41"/>
  <c r="B8" i="41"/>
  <c r="U24" i="41"/>
  <c r="S24" i="41"/>
  <c r="Q24" i="41"/>
  <c r="P24" i="41"/>
  <c r="AA24" i="41"/>
  <c r="C24" i="41"/>
  <c r="U8" i="41"/>
  <c r="S8" i="41"/>
  <c r="Q8" i="41"/>
  <c r="P8" i="41"/>
  <c r="AA8" i="41"/>
  <c r="K8" i="41"/>
  <c r="N8" i="41" s="1"/>
  <c r="A8" i="41"/>
  <c r="AI50" i="50" l="1"/>
  <c r="AT48" i="50"/>
  <c r="AP27" i="41"/>
  <c r="AS27" i="41" s="1"/>
  <c r="AP28" i="41"/>
  <c r="AS28" i="41" s="1"/>
  <c r="AQ28" i="41"/>
  <c r="AC28" i="41"/>
  <c r="AE28" i="41" s="1"/>
  <c r="AC27" i="41"/>
  <c r="AE27" i="41" s="1"/>
  <c r="C8" i="41"/>
  <c r="AQ27" i="41"/>
  <c r="AN26" i="41"/>
  <c r="AO26" i="41" s="1"/>
  <c r="AH26" i="41"/>
  <c r="AK26" i="41"/>
  <c r="AL26" i="41" s="1"/>
  <c r="AN24" i="41"/>
  <c r="AO24" i="41" s="1"/>
  <c r="AH24" i="41"/>
  <c r="AK24" i="41"/>
  <c r="AL24" i="41" s="1"/>
  <c r="AH8" i="41"/>
  <c r="AK8" i="41"/>
  <c r="AL8" i="41" s="1"/>
  <c r="AN8" i="41"/>
  <c r="AO8" i="41" s="1"/>
  <c r="AC51" i="41"/>
  <c r="AE51" i="41" s="1"/>
  <c r="AQ51" i="41"/>
  <c r="AP51" i="41"/>
  <c r="AS51" i="41" s="1"/>
  <c r="AI49" i="41"/>
  <c r="AP49" i="41"/>
  <c r="AS49" i="41" s="1"/>
  <c r="Y8" i="41"/>
  <c r="AR8" i="41" s="1"/>
  <c r="Z8" i="41"/>
  <c r="M8" i="41"/>
  <c r="M24" i="41"/>
  <c r="Y24" i="41"/>
  <c r="AR24" i="41" s="1"/>
  <c r="N24" i="41"/>
  <c r="Z24" i="41"/>
  <c r="P6" i="41"/>
  <c r="P7" i="41"/>
  <c r="P9" i="41"/>
  <c r="P10" i="41"/>
  <c r="P11" i="41"/>
  <c r="P12" i="41"/>
  <c r="P13" i="41"/>
  <c r="P14" i="41"/>
  <c r="P15" i="41"/>
  <c r="P16" i="41"/>
  <c r="P17" i="41"/>
  <c r="P18" i="41"/>
  <c r="P19" i="41"/>
  <c r="P20" i="41"/>
  <c r="P21" i="41"/>
  <c r="P22" i="41"/>
  <c r="P23" i="41"/>
  <c r="P25" i="41"/>
  <c r="P29" i="41"/>
  <c r="P30" i="41"/>
  <c r="P31" i="41"/>
  <c r="P32" i="41"/>
  <c r="P33" i="41"/>
  <c r="P34" i="41"/>
  <c r="P35" i="41"/>
  <c r="P36" i="41"/>
  <c r="P37" i="41"/>
  <c r="P38" i="41"/>
  <c r="P39" i="41"/>
  <c r="P40" i="41"/>
  <c r="P41" i="41"/>
  <c r="P42" i="41"/>
  <c r="P43" i="41"/>
  <c r="P44" i="41"/>
  <c r="P45" i="41"/>
  <c r="P46" i="41"/>
  <c r="P47" i="41"/>
  <c r="P48" i="41"/>
  <c r="P50" i="41"/>
  <c r="P52" i="41"/>
  <c r="P53" i="41"/>
  <c r="P54" i="41"/>
  <c r="P55" i="41"/>
  <c r="P56" i="41"/>
  <c r="P57" i="41"/>
  <c r="P5" i="41"/>
  <c r="AF54" i="50" l="1"/>
  <c r="AI54" i="50"/>
  <c r="AI52" i="50"/>
  <c r="AP26" i="41"/>
  <c r="AS26" i="41" s="1"/>
  <c r="AI26" i="41"/>
  <c r="AQ26" i="41" s="1"/>
  <c r="AI24" i="41"/>
  <c r="AP24" i="41"/>
  <c r="AS24" i="41" s="1"/>
  <c r="AI8" i="41"/>
  <c r="AP8" i="41"/>
  <c r="AS8" i="41" s="1"/>
  <c r="AQ49" i="41"/>
  <c r="AC49" i="41"/>
  <c r="AE49" i="41" s="1"/>
  <c r="AD47" i="41"/>
  <c r="AC26" i="41" l="1"/>
  <c r="AE26" i="41" s="1"/>
  <c r="AC24" i="41"/>
  <c r="AE24" i="41" s="1"/>
  <c r="AQ24" i="41"/>
  <c r="AC8" i="41"/>
  <c r="AE8" i="41" s="1"/>
  <c r="AQ8" i="41"/>
  <c r="L54" i="41"/>
  <c r="L53" i="41"/>
  <c r="L52" i="41"/>
  <c r="L48" i="41"/>
  <c r="L39" i="41"/>
  <c r="L40" i="41"/>
  <c r="L32" i="41"/>
  <c r="L17" i="41"/>
  <c r="L12" i="41"/>
  <c r="L9" i="41"/>
  <c r="B6" i="41"/>
  <c r="B7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5" i="41"/>
  <c r="B29" i="41"/>
  <c r="B30" i="41"/>
  <c r="B31" i="41"/>
  <c r="B32" i="41"/>
  <c r="B33" i="41"/>
  <c r="B34" i="41"/>
  <c r="B35" i="41"/>
  <c r="B36" i="41"/>
  <c r="B37" i="41"/>
  <c r="B38" i="41"/>
  <c r="B39" i="41"/>
  <c r="B40" i="41"/>
  <c r="B41" i="41"/>
  <c r="B42" i="41"/>
  <c r="B43" i="41"/>
  <c r="B45" i="41"/>
  <c r="B46" i="41"/>
  <c r="B47" i="41"/>
  <c r="B48" i="41"/>
  <c r="B50" i="41"/>
  <c r="B52" i="41"/>
  <c r="B53" i="41"/>
  <c r="B54" i="41"/>
  <c r="B55" i="41"/>
  <c r="B56" i="41"/>
  <c r="B57" i="41"/>
  <c r="B5" i="41"/>
  <c r="B3" i="41" s="1"/>
  <c r="W6" i="41" l="1"/>
  <c r="W7" i="41"/>
  <c r="W9" i="41"/>
  <c r="W15" i="41"/>
  <c r="W16" i="41"/>
  <c r="W17" i="41"/>
  <c r="W18" i="41"/>
  <c r="W19" i="41"/>
  <c r="W21" i="41"/>
  <c r="W22" i="41"/>
  <c r="W25" i="41"/>
  <c r="W29" i="41"/>
  <c r="W30" i="41"/>
  <c r="W31" i="41"/>
  <c r="W32" i="41"/>
  <c r="W33" i="41"/>
  <c r="W34" i="41"/>
  <c r="W35" i="41"/>
  <c r="W36" i="41"/>
  <c r="W37" i="41"/>
  <c r="W38" i="41"/>
  <c r="W39" i="41"/>
  <c r="W46" i="41"/>
  <c r="W47" i="41"/>
  <c r="W48" i="41"/>
  <c r="W50" i="41"/>
  <c r="W52" i="41"/>
  <c r="W53" i="41"/>
  <c r="W55" i="41"/>
  <c r="W56" i="41"/>
  <c r="W57" i="41"/>
  <c r="W5" i="41"/>
  <c r="V6" i="41"/>
  <c r="V7" i="41"/>
  <c r="V9" i="41"/>
  <c r="V15" i="41"/>
  <c r="V16" i="41"/>
  <c r="V17" i="41"/>
  <c r="V18" i="41"/>
  <c r="V19" i="41"/>
  <c r="V21" i="41"/>
  <c r="V22" i="41"/>
  <c r="V25" i="41"/>
  <c r="V29" i="41"/>
  <c r="V30" i="41"/>
  <c r="V31" i="41"/>
  <c r="V32" i="41"/>
  <c r="V33" i="41"/>
  <c r="V34" i="41"/>
  <c r="V35" i="41"/>
  <c r="V36" i="41"/>
  <c r="V37" i="41"/>
  <c r="V38" i="41"/>
  <c r="V39" i="41"/>
  <c r="V46" i="41"/>
  <c r="V47" i="41"/>
  <c r="V48" i="41"/>
  <c r="V50" i="41"/>
  <c r="V52" i="41"/>
  <c r="V53" i="41"/>
  <c r="V55" i="41"/>
  <c r="V56" i="41"/>
  <c r="V57" i="41"/>
  <c r="V5" i="41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" i="43" s="1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3" i="43"/>
  <c r="O1" i="43"/>
  <c r="AX5" i="41" l="1"/>
  <c r="AZ5" i="41" s="1"/>
  <c r="BA5" i="41"/>
  <c r="AX19" i="41"/>
  <c r="AZ19" i="41" s="1"/>
  <c r="BA19" i="41"/>
  <c r="AX6" i="41"/>
  <c r="AZ6" i="41" s="1"/>
  <c r="BA6" i="41"/>
  <c r="AX32" i="41"/>
  <c r="AZ32" i="41" s="1"/>
  <c r="AX47" i="41"/>
  <c r="AZ47" i="41" s="1"/>
  <c r="AX17" i="41"/>
  <c r="AZ17" i="41" s="1"/>
  <c r="AX55" i="41"/>
  <c r="AZ55" i="41" s="1"/>
  <c r="AX46" i="41"/>
  <c r="AZ46" i="41" s="1"/>
  <c r="AX34" i="41"/>
  <c r="AZ34" i="41" s="1"/>
  <c r="AX25" i="41"/>
  <c r="AZ25" i="41" s="1"/>
  <c r="AX16" i="41"/>
  <c r="AZ16" i="41" s="1"/>
  <c r="AX52" i="41"/>
  <c r="AZ52" i="41" s="1"/>
  <c r="AX56" i="41"/>
  <c r="AZ56" i="41" s="1"/>
  <c r="AX35" i="41"/>
  <c r="AZ35" i="41" s="1"/>
  <c r="AX29" i="41"/>
  <c r="AZ29" i="41" s="1"/>
  <c r="AX53" i="41"/>
  <c r="AZ53" i="41" s="1"/>
  <c r="AX39" i="41"/>
  <c r="AZ39" i="41" s="1"/>
  <c r="AX33" i="41"/>
  <c r="AZ33" i="41" s="1"/>
  <c r="AX22" i="41"/>
  <c r="AZ22" i="41" s="1"/>
  <c r="AX15" i="41"/>
  <c r="AZ15" i="41" s="1"/>
  <c r="AX9" i="41"/>
  <c r="AZ9" i="41" s="1"/>
  <c r="AX38" i="41"/>
  <c r="AZ38" i="41" s="1"/>
  <c r="AX50" i="41"/>
  <c r="AZ50" i="41" s="1"/>
  <c r="AX37" i="41"/>
  <c r="AZ37" i="41" s="1"/>
  <c r="AX31" i="41"/>
  <c r="AZ31" i="41" s="1"/>
  <c r="AX7" i="41"/>
  <c r="AZ7" i="41" s="1"/>
  <c r="AX21" i="41"/>
  <c r="AZ21" i="41" s="1"/>
  <c r="AX57" i="41"/>
  <c r="AZ57" i="41" s="1"/>
  <c r="AX48" i="41"/>
  <c r="AZ48" i="41" s="1"/>
  <c r="AX36" i="41"/>
  <c r="AZ36" i="41" s="1"/>
  <c r="AX30" i="41"/>
  <c r="AZ30" i="41" s="1"/>
  <c r="AX18" i="41"/>
  <c r="AZ18" i="41" s="1"/>
  <c r="K46" i="41"/>
  <c r="K47" i="41"/>
  <c r="K30" i="41"/>
  <c r="K31" i="41"/>
  <c r="K32" i="41"/>
  <c r="K33" i="41"/>
  <c r="K34" i="41"/>
  <c r="K35" i="41"/>
  <c r="K36" i="41"/>
  <c r="K37" i="41"/>
  <c r="K38" i="41"/>
  <c r="K39" i="41"/>
  <c r="K29" i="41"/>
  <c r="K9" i="41"/>
  <c r="K7" i="41"/>
  <c r="K6" i="41" l="1"/>
  <c r="K5" i="41"/>
  <c r="C4" i="42" l="1"/>
  <c r="C5" i="42"/>
  <c r="C6" i="42"/>
  <c r="C7" i="42"/>
  <c r="C8" i="42"/>
  <c r="C9" i="42"/>
  <c r="C10" i="42"/>
  <c r="C11" i="42"/>
  <c r="C12" i="42"/>
  <c r="C13" i="42"/>
  <c r="C14" i="42"/>
  <c r="C15" i="42"/>
  <c r="C16" i="42"/>
  <c r="C17" i="42"/>
  <c r="C18" i="42"/>
  <c r="C19" i="42"/>
  <c r="C20" i="42"/>
  <c r="C21" i="42"/>
  <c r="C22" i="42"/>
  <c r="C23" i="42"/>
  <c r="C24" i="42"/>
  <c r="C25" i="42"/>
  <c r="C26" i="42"/>
  <c r="C27" i="42"/>
  <c r="C28" i="42"/>
  <c r="C29" i="42"/>
  <c r="C30" i="42"/>
  <c r="C31" i="42"/>
  <c r="C32" i="42"/>
  <c r="C33" i="42"/>
  <c r="C34" i="42"/>
  <c r="C35" i="42"/>
  <c r="C36" i="42"/>
  <c r="C37" i="42"/>
  <c r="C38" i="42"/>
  <c r="C39" i="42"/>
  <c r="C40" i="42"/>
  <c r="C41" i="42"/>
  <c r="C42" i="42"/>
  <c r="C43" i="42"/>
  <c r="C44" i="42"/>
  <c r="C45" i="42"/>
  <c r="C46" i="42"/>
  <c r="C47" i="42"/>
  <c r="C48" i="42"/>
  <c r="C3" i="42"/>
  <c r="C1" i="42" l="1"/>
  <c r="AT5" i="41"/>
  <c r="U9" i="41"/>
  <c r="U10" i="41"/>
  <c r="U11" i="41"/>
  <c r="U12" i="41"/>
  <c r="U13" i="41"/>
  <c r="U14" i="41"/>
  <c r="U15" i="41"/>
  <c r="U16" i="41"/>
  <c r="U17" i="41"/>
  <c r="U18" i="41"/>
  <c r="U19" i="41"/>
  <c r="U20" i="41"/>
  <c r="U21" i="41"/>
  <c r="U22" i="41"/>
  <c r="U23" i="41"/>
  <c r="U25" i="41"/>
  <c r="U29" i="41"/>
  <c r="U30" i="41"/>
  <c r="U31" i="41"/>
  <c r="U32" i="41"/>
  <c r="U33" i="41"/>
  <c r="U34" i="41"/>
  <c r="U35" i="41"/>
  <c r="U36" i="41"/>
  <c r="U37" i="41"/>
  <c r="U38" i="41"/>
  <c r="U39" i="41"/>
  <c r="U40" i="41"/>
  <c r="U41" i="41"/>
  <c r="U42" i="41"/>
  <c r="U43" i="41"/>
  <c r="U44" i="41"/>
  <c r="U45" i="41"/>
  <c r="U46" i="41"/>
  <c r="U47" i="41"/>
  <c r="U48" i="41"/>
  <c r="U50" i="41"/>
  <c r="U52" i="41"/>
  <c r="U53" i="41"/>
  <c r="U54" i="41"/>
  <c r="U55" i="41"/>
  <c r="U56" i="41"/>
  <c r="U57" i="41"/>
  <c r="U6" i="41"/>
  <c r="U7" i="41"/>
  <c r="U5" i="41"/>
  <c r="Q44" i="41" l="1"/>
  <c r="Q12" i="41" l="1"/>
  <c r="S31" i="41"/>
  <c r="Q31" i="41"/>
  <c r="S33" i="41"/>
  <c r="S35" i="41"/>
  <c r="Q33" i="41"/>
  <c r="Q35" i="41"/>
  <c r="S54" i="41"/>
  <c r="S52" i="41"/>
  <c r="S50" i="41"/>
  <c r="S48" i="41"/>
  <c r="AT57" i="41" l="1"/>
  <c r="AU57" i="41" s="1"/>
  <c r="AV57" i="41" s="1"/>
  <c r="AD57" i="41"/>
  <c r="S57" i="41"/>
  <c r="Q57" i="41"/>
  <c r="K57" i="41"/>
  <c r="L57" i="41" s="1"/>
  <c r="A57" i="41"/>
  <c r="C57" i="41" s="1"/>
  <c r="AT56" i="41"/>
  <c r="AU56" i="41" s="1"/>
  <c r="AV56" i="41" s="1"/>
  <c r="AD56" i="41"/>
  <c r="S56" i="41"/>
  <c r="Q56" i="41"/>
  <c r="K56" i="41"/>
  <c r="L56" i="41" s="1"/>
  <c r="A56" i="41"/>
  <c r="C56" i="41" s="1"/>
  <c r="AT55" i="41"/>
  <c r="AU55" i="41" s="1"/>
  <c r="AV55" i="41" s="1"/>
  <c r="AD55" i="41"/>
  <c r="S55" i="41"/>
  <c r="Q55" i="41"/>
  <c r="K55" i="41"/>
  <c r="L55" i="41" s="1"/>
  <c r="A55" i="41"/>
  <c r="C55" i="41" s="1"/>
  <c r="AT54" i="41"/>
  <c r="AU54" i="41" s="1"/>
  <c r="AV54" i="41" s="1"/>
  <c r="AD54" i="41"/>
  <c r="Q54" i="41"/>
  <c r="K54" i="41"/>
  <c r="A54" i="41"/>
  <c r="C54" i="41" s="1"/>
  <c r="AT53" i="41"/>
  <c r="AU53" i="41" s="1"/>
  <c r="AV53" i="41" s="1"/>
  <c r="AD53" i="41"/>
  <c r="S53" i="41"/>
  <c r="Q53" i="41"/>
  <c r="K53" i="41"/>
  <c r="A53" i="41"/>
  <c r="C53" i="41" s="1"/>
  <c r="AT52" i="41"/>
  <c r="AU52" i="41" s="1"/>
  <c r="AV52" i="41" s="1"/>
  <c r="AD52" i="41"/>
  <c r="Z52" i="41"/>
  <c r="Q52" i="41"/>
  <c r="Y52" i="41" s="1"/>
  <c r="AR52" i="41" s="1"/>
  <c r="K52" i="41"/>
  <c r="A52" i="41"/>
  <c r="C52" i="41" s="1"/>
  <c r="AT50" i="41"/>
  <c r="AU50" i="41" s="1"/>
  <c r="AV50" i="41" s="1"/>
  <c r="AD50" i="41"/>
  <c r="Z50" i="41"/>
  <c r="Q50" i="41"/>
  <c r="K50" i="41"/>
  <c r="A50" i="41"/>
  <c r="C50" i="41" s="1"/>
  <c r="AT48" i="41"/>
  <c r="AU48" i="41" s="1"/>
  <c r="AV48" i="41" s="1"/>
  <c r="AD48" i="41"/>
  <c r="Q48" i="41"/>
  <c r="AA48" i="41"/>
  <c r="AN48" i="41" s="1"/>
  <c r="AO48" i="41" s="1"/>
  <c r="K48" i="41"/>
  <c r="N48" i="41" s="1"/>
  <c r="A48" i="41"/>
  <c r="C48" i="41" s="1"/>
  <c r="AT47" i="41"/>
  <c r="AU47" i="41" s="1"/>
  <c r="AV47" i="41" s="1"/>
  <c r="S47" i="41"/>
  <c r="Q47" i="41"/>
  <c r="C47" i="41"/>
  <c r="AT46" i="41"/>
  <c r="AU46" i="41" s="1"/>
  <c r="AV46" i="41" s="1"/>
  <c r="AD46" i="41"/>
  <c r="S46" i="41"/>
  <c r="Q46" i="41"/>
  <c r="C46" i="41"/>
  <c r="N46" i="41" s="1"/>
  <c r="AT45" i="41"/>
  <c r="AU45" i="41" s="1"/>
  <c r="AV45" i="41" s="1"/>
  <c r="AD45" i="41"/>
  <c r="S45" i="41"/>
  <c r="Q45" i="41"/>
  <c r="K45" i="41"/>
  <c r="C45" i="41"/>
  <c r="AT44" i="41"/>
  <c r="AU44" i="41" s="1"/>
  <c r="AV44" i="41" s="1"/>
  <c r="AD44" i="41"/>
  <c r="S44" i="41"/>
  <c r="K44" i="41"/>
  <c r="C44" i="41"/>
  <c r="AT43" i="41"/>
  <c r="AU43" i="41" s="1"/>
  <c r="AV43" i="41" s="1"/>
  <c r="AD43" i="41"/>
  <c r="AA43" i="41"/>
  <c r="AK43" i="41" s="1"/>
  <c r="AL43" i="41" s="1"/>
  <c r="S43" i="41"/>
  <c r="Q43" i="41"/>
  <c r="K43" i="41"/>
  <c r="C43" i="41"/>
  <c r="Z43" i="41" s="1"/>
  <c r="AT42" i="41"/>
  <c r="AU42" i="41" s="1"/>
  <c r="AV42" i="41" s="1"/>
  <c r="AD42" i="41"/>
  <c r="S42" i="41"/>
  <c r="Q42" i="41"/>
  <c r="K42" i="41"/>
  <c r="N42" i="41" s="1"/>
  <c r="C42" i="41"/>
  <c r="AT41" i="41"/>
  <c r="AU41" i="41" s="1"/>
  <c r="AV41" i="41" s="1"/>
  <c r="AD41" i="41"/>
  <c r="S41" i="41"/>
  <c r="Q41" i="41"/>
  <c r="K41" i="41"/>
  <c r="C41" i="41"/>
  <c r="AT40" i="41"/>
  <c r="AU40" i="41" s="1"/>
  <c r="AV40" i="41" s="1"/>
  <c r="AD40" i="41"/>
  <c r="S40" i="41"/>
  <c r="Q40" i="41"/>
  <c r="K40" i="41"/>
  <c r="C40" i="41"/>
  <c r="AT39" i="41"/>
  <c r="AU39" i="41" s="1"/>
  <c r="AV39" i="41" s="1"/>
  <c r="AD39" i="41"/>
  <c r="S39" i="41"/>
  <c r="Q39" i="41"/>
  <c r="C39" i="41"/>
  <c r="AT38" i="41"/>
  <c r="AU38" i="41" s="1"/>
  <c r="AV38" i="41" s="1"/>
  <c r="AD38" i="41"/>
  <c r="S38" i="41"/>
  <c r="Q38" i="41"/>
  <c r="C38" i="41"/>
  <c r="AT37" i="41"/>
  <c r="AU37" i="41" s="1"/>
  <c r="AV37" i="41" s="1"/>
  <c r="AD37" i="41"/>
  <c r="S37" i="41"/>
  <c r="Q37" i="41"/>
  <c r="C37" i="41"/>
  <c r="AA37" i="41" s="1"/>
  <c r="AK37" i="41" s="1"/>
  <c r="AL37" i="41" s="1"/>
  <c r="AT36" i="41"/>
  <c r="AU36" i="41" s="1"/>
  <c r="AV36" i="41" s="1"/>
  <c r="AD36" i="41"/>
  <c r="S36" i="41"/>
  <c r="Q36" i="41"/>
  <c r="C36" i="41"/>
  <c r="AT35" i="41"/>
  <c r="AU35" i="41" s="1"/>
  <c r="AV35" i="41" s="1"/>
  <c r="AD35" i="41"/>
  <c r="C35" i="41"/>
  <c r="AA35" i="41" s="1"/>
  <c r="AT34" i="41"/>
  <c r="AU34" i="41" s="1"/>
  <c r="AV34" i="41" s="1"/>
  <c r="AD34" i="41"/>
  <c r="S34" i="41"/>
  <c r="Q34" i="41"/>
  <c r="M34" i="41"/>
  <c r="C34" i="41"/>
  <c r="Z34" i="41" s="1"/>
  <c r="AT33" i="41"/>
  <c r="AU33" i="41" s="1"/>
  <c r="AV33" i="41" s="1"/>
  <c r="AD33" i="41"/>
  <c r="C33" i="41"/>
  <c r="Z33" i="41" s="1"/>
  <c r="AT32" i="41"/>
  <c r="AU32" i="41" s="1"/>
  <c r="AV32" i="41" s="1"/>
  <c r="AD32" i="41"/>
  <c r="S32" i="41"/>
  <c r="Q32" i="41"/>
  <c r="N32" i="41"/>
  <c r="C32" i="41"/>
  <c r="AA32" i="41" s="1"/>
  <c r="AK32" i="41" s="1"/>
  <c r="AL32" i="41" s="1"/>
  <c r="AT31" i="41"/>
  <c r="AU31" i="41" s="1"/>
  <c r="AV31" i="41" s="1"/>
  <c r="AD31" i="41"/>
  <c r="C31" i="41"/>
  <c r="AT30" i="41"/>
  <c r="AU30" i="41" s="1"/>
  <c r="AV30" i="41" s="1"/>
  <c r="AD30" i="41"/>
  <c r="S30" i="41"/>
  <c r="Q30" i="41"/>
  <c r="N30" i="41"/>
  <c r="C30" i="41"/>
  <c r="AA30" i="41" s="1"/>
  <c r="AH30" i="41" s="1"/>
  <c r="AT29" i="41"/>
  <c r="AU29" i="41" s="1"/>
  <c r="AV29" i="41" s="1"/>
  <c r="AD29" i="41"/>
  <c r="S29" i="41"/>
  <c r="Q29" i="41"/>
  <c r="AA29" i="41"/>
  <c r="AK29" i="41" s="1"/>
  <c r="AL29" i="41" s="1"/>
  <c r="C29" i="41"/>
  <c r="AT25" i="41"/>
  <c r="AU25" i="41" s="1"/>
  <c r="AV25" i="41" s="1"/>
  <c r="AD25" i="41"/>
  <c r="S25" i="41"/>
  <c r="Q25" i="41"/>
  <c r="K25" i="41"/>
  <c r="A25" i="41"/>
  <c r="C25" i="41" s="1"/>
  <c r="AT23" i="41"/>
  <c r="AU23" i="41" s="1"/>
  <c r="AV23" i="41" s="1"/>
  <c r="AD23" i="41"/>
  <c r="S23" i="41"/>
  <c r="Q23" i="41"/>
  <c r="C23" i="41"/>
  <c r="AT22" i="41"/>
  <c r="AU22" i="41" s="1"/>
  <c r="AV22" i="41" s="1"/>
  <c r="AD22" i="41"/>
  <c r="S22" i="41"/>
  <c r="Q22" i="41"/>
  <c r="K22" i="41"/>
  <c r="C22" i="41"/>
  <c r="AT21" i="41"/>
  <c r="AU21" i="41" s="1"/>
  <c r="AV21" i="41" s="1"/>
  <c r="AD21" i="41"/>
  <c r="S21" i="41"/>
  <c r="Q21" i="41"/>
  <c r="K21" i="41"/>
  <c r="C21" i="41"/>
  <c r="AT20" i="41"/>
  <c r="AU20" i="41" s="1"/>
  <c r="AV20" i="41" s="1"/>
  <c r="AD20" i="41"/>
  <c r="S20" i="41"/>
  <c r="Q20" i="41"/>
  <c r="K20" i="41"/>
  <c r="A20" i="41"/>
  <c r="C20" i="41" s="1"/>
  <c r="AT19" i="41"/>
  <c r="AU19" i="41" s="1"/>
  <c r="AV19" i="41" s="1"/>
  <c r="AD19" i="41"/>
  <c r="S19" i="41"/>
  <c r="Q19" i="41"/>
  <c r="K19" i="41"/>
  <c r="C19" i="41"/>
  <c r="AT18" i="41"/>
  <c r="AU18" i="41" s="1"/>
  <c r="AV18" i="41" s="1"/>
  <c r="AD18" i="41"/>
  <c r="S18" i="41"/>
  <c r="Q18" i="41"/>
  <c r="K18" i="41"/>
  <c r="A18" i="41"/>
  <c r="C18" i="41" s="1"/>
  <c r="AT17" i="41"/>
  <c r="AU17" i="41" s="1"/>
  <c r="AV17" i="41" s="1"/>
  <c r="AD17" i="41"/>
  <c r="S17" i="41"/>
  <c r="Q17" i="41"/>
  <c r="K17" i="41"/>
  <c r="C17" i="41"/>
  <c r="AT16" i="41"/>
  <c r="AU16" i="41" s="1"/>
  <c r="AV16" i="41" s="1"/>
  <c r="AD16" i="41"/>
  <c r="S16" i="41"/>
  <c r="Q16" i="41"/>
  <c r="K16" i="41"/>
  <c r="C16" i="41"/>
  <c r="Z16" i="41" s="1"/>
  <c r="AT15" i="41"/>
  <c r="AU15" i="41" s="1"/>
  <c r="AV15" i="41" s="1"/>
  <c r="AD15" i="41"/>
  <c r="S15" i="41"/>
  <c r="Q15" i="41"/>
  <c r="K15" i="41"/>
  <c r="A15" i="41"/>
  <c r="C15" i="41" s="1"/>
  <c r="AA34" i="41" l="1"/>
  <c r="AK34" i="41" s="1"/>
  <c r="AL34" i="41" s="1"/>
  <c r="Z39" i="41"/>
  <c r="Z45" i="41"/>
  <c r="M47" i="41"/>
  <c r="Y57" i="41"/>
  <c r="AR57" i="41" s="1"/>
  <c r="M30" i="41"/>
  <c r="M32" i="41"/>
  <c r="N34" i="41"/>
  <c r="Z37" i="41"/>
  <c r="AA53" i="41"/>
  <c r="Z54" i="41"/>
  <c r="Z30" i="41"/>
  <c r="Z32" i="41"/>
  <c r="AA41" i="41"/>
  <c r="AK41" i="41" s="1"/>
  <c r="AL41" i="41" s="1"/>
  <c r="Y54" i="41"/>
  <c r="AR54" i="41" s="1"/>
  <c r="AA55" i="41"/>
  <c r="Y22" i="41"/>
  <c r="AR22" i="41" s="1"/>
  <c r="N15" i="41"/>
  <c r="Z55" i="41"/>
  <c r="AA56" i="41"/>
  <c r="AN56" i="41" s="1"/>
  <c r="AO56" i="41" s="1"/>
  <c r="N45" i="41"/>
  <c r="M19" i="41"/>
  <c r="N20" i="41"/>
  <c r="Y55" i="41"/>
  <c r="AR55" i="41" s="1"/>
  <c r="Y23" i="41"/>
  <c r="AR23" i="41" s="1"/>
  <c r="Y46" i="41"/>
  <c r="AR46" i="41" s="1"/>
  <c r="Y34" i="41"/>
  <c r="AR34" i="41" s="1"/>
  <c r="Y29" i="41"/>
  <c r="AR29" i="41" s="1"/>
  <c r="Y42" i="41"/>
  <c r="AR42" i="41" s="1"/>
  <c r="AH32" i="41"/>
  <c r="AI32" i="41" s="1"/>
  <c r="AN32" i="41"/>
  <c r="AO32" i="41" s="1"/>
  <c r="N50" i="41"/>
  <c r="AA50" i="41"/>
  <c r="M50" i="41"/>
  <c r="AK48" i="41"/>
  <c r="AL48" i="41" s="1"/>
  <c r="AH48" i="41"/>
  <c r="M52" i="41"/>
  <c r="N54" i="41"/>
  <c r="AA54" i="41"/>
  <c r="M54" i="41"/>
  <c r="AA52" i="41"/>
  <c r="N52" i="41"/>
  <c r="M55" i="41"/>
  <c r="Y48" i="41"/>
  <c r="Y50" i="41"/>
  <c r="AR50" i="41" s="1"/>
  <c r="N55" i="41"/>
  <c r="Z48" i="41"/>
  <c r="M48" i="41"/>
  <c r="N44" i="41"/>
  <c r="N38" i="41"/>
  <c r="N40" i="41"/>
  <c r="Z41" i="41"/>
  <c r="M43" i="41"/>
  <c r="N21" i="41"/>
  <c r="N36" i="41"/>
  <c r="AA16" i="41"/>
  <c r="AH16" i="41" s="1"/>
  <c r="AI16" i="41" s="1"/>
  <c r="Y18" i="41"/>
  <c r="AR18" i="41" s="1"/>
  <c r="N29" i="41"/>
  <c r="Y30" i="41"/>
  <c r="AR30" i="41" s="1"/>
  <c r="N43" i="41"/>
  <c r="Y44" i="41"/>
  <c r="AR44" i="41" s="1"/>
  <c r="AA45" i="41"/>
  <c r="AK45" i="41" s="1"/>
  <c r="AL45" i="41" s="1"/>
  <c r="N47" i="41"/>
  <c r="M45" i="41"/>
  <c r="AH35" i="41"/>
  <c r="AN35" i="41"/>
  <c r="AO35" i="41" s="1"/>
  <c r="N33" i="41"/>
  <c r="AA33" i="41"/>
  <c r="Y35" i="41"/>
  <c r="AR35" i="41" s="1"/>
  <c r="N35" i="41"/>
  <c r="Y32" i="41"/>
  <c r="AR32" i="41" s="1"/>
  <c r="M33" i="41"/>
  <c r="M35" i="41"/>
  <c r="Y38" i="41"/>
  <c r="AR38" i="41" s="1"/>
  <c r="AA31" i="41"/>
  <c r="M31" i="41"/>
  <c r="N31" i="41" s="1"/>
  <c r="AH29" i="41"/>
  <c r="AK30" i="41"/>
  <c r="AL30" i="41" s="1"/>
  <c r="Y31" i="41"/>
  <c r="AR31" i="41" s="1"/>
  <c r="AK35" i="41"/>
  <c r="AL35" i="41" s="1"/>
  <c r="AH37" i="41"/>
  <c r="AN37" i="41"/>
  <c r="AO37" i="41" s="1"/>
  <c r="Y41" i="41"/>
  <c r="AR41" i="41" s="1"/>
  <c r="N41" i="41"/>
  <c r="AI30" i="41"/>
  <c r="AN29" i="41"/>
  <c r="AO29" i="41" s="1"/>
  <c r="Z31" i="41"/>
  <c r="Y37" i="41"/>
  <c r="AR37" i="41" s="1"/>
  <c r="N37" i="41"/>
  <c r="AN30" i="41"/>
  <c r="AO30" i="41" s="1"/>
  <c r="Y33" i="41"/>
  <c r="AR33" i="41" s="1"/>
  <c r="Z35" i="41"/>
  <c r="Y36" i="41"/>
  <c r="AR36" i="41" s="1"/>
  <c r="M37" i="41"/>
  <c r="Y40" i="41"/>
  <c r="AR40" i="41" s="1"/>
  <c r="M41" i="41"/>
  <c r="AH43" i="41"/>
  <c r="AN43" i="41"/>
  <c r="AO43" i="41" s="1"/>
  <c r="Z29" i="41"/>
  <c r="Z36" i="41"/>
  <c r="Z38" i="41"/>
  <c r="Z40" i="41"/>
  <c r="Z42" i="41"/>
  <c r="Z44" i="41"/>
  <c r="Z46" i="41"/>
  <c r="M29" i="41"/>
  <c r="M36" i="41"/>
  <c r="AA36" i="41"/>
  <c r="M38" i="41"/>
  <c r="AA38" i="41"/>
  <c r="M40" i="41"/>
  <c r="AA40" i="41"/>
  <c r="M42" i="41"/>
  <c r="AA42" i="41"/>
  <c r="M44" i="41"/>
  <c r="AA44" i="41"/>
  <c r="M46" i="41"/>
  <c r="AA46" i="41"/>
  <c r="Y43" i="41"/>
  <c r="AR43" i="41" s="1"/>
  <c r="Y45" i="41"/>
  <c r="AR45" i="41" s="1"/>
  <c r="Y47" i="41"/>
  <c r="Y21" i="41"/>
  <c r="AR21" i="41" s="1"/>
  <c r="Y17" i="41"/>
  <c r="AR17" i="41" s="1"/>
  <c r="Y15" i="41"/>
  <c r="AR15" i="41" s="1"/>
  <c r="N17" i="41"/>
  <c r="M16" i="41"/>
  <c r="Y25" i="41"/>
  <c r="AR25" i="41" s="1"/>
  <c r="M25" i="41"/>
  <c r="AA25" i="41"/>
  <c r="N25" i="41"/>
  <c r="N19" i="41"/>
  <c r="AA19" i="41"/>
  <c r="Z17" i="41"/>
  <c r="Z21" i="41"/>
  <c r="N23" i="41"/>
  <c r="M15" i="41"/>
  <c r="AA15" i="41"/>
  <c r="M17" i="41"/>
  <c r="AA17" i="41"/>
  <c r="M21" i="41"/>
  <c r="AA21" i="41"/>
  <c r="AH21" i="41" s="1"/>
  <c r="AI21" i="41" s="1"/>
  <c r="Z23" i="41"/>
  <c r="N16" i="41"/>
  <c r="M23" i="41"/>
  <c r="AA23" i="41"/>
  <c r="Z15" i="41"/>
  <c r="Y16" i="41"/>
  <c r="AR16" i="41" s="1"/>
  <c r="AC32" i="41" l="1"/>
  <c r="AE32" i="41" s="1"/>
  <c r="AN34" i="41"/>
  <c r="AO34" i="41" s="1"/>
  <c r="AH34" i="41"/>
  <c r="AI34" i="41" s="1"/>
  <c r="AC30" i="41"/>
  <c r="AE30" i="41" s="1"/>
  <c r="AN53" i="41"/>
  <c r="AO53" i="41" s="1"/>
  <c r="AK53" i="41"/>
  <c r="AL53" i="41" s="1"/>
  <c r="AH53" i="41"/>
  <c r="AI53" i="41" s="1"/>
  <c r="AN41" i="41"/>
  <c r="AO41" i="41" s="1"/>
  <c r="N39" i="41"/>
  <c r="Z57" i="41"/>
  <c r="N53" i="41"/>
  <c r="AH41" i="41"/>
  <c r="AI41" i="41" s="1"/>
  <c r="M39" i="41"/>
  <c r="Y39" i="41"/>
  <c r="AR39" i="41" s="1"/>
  <c r="M57" i="41"/>
  <c r="N57" i="41" s="1"/>
  <c r="M53" i="41"/>
  <c r="Y53" i="41"/>
  <c r="AR53" i="41" s="1"/>
  <c r="Z53" i="41"/>
  <c r="AA57" i="41"/>
  <c r="AN57" i="41" s="1"/>
  <c r="AO57" i="41" s="1"/>
  <c r="AA39" i="41"/>
  <c r="AA47" i="41"/>
  <c r="Z47" i="41"/>
  <c r="M22" i="41"/>
  <c r="AA22" i="41"/>
  <c r="Z22" i="41"/>
  <c r="N22" i="41"/>
  <c r="AK56" i="41"/>
  <c r="AL56" i="41" s="1"/>
  <c r="M56" i="41"/>
  <c r="AR48" i="41"/>
  <c r="AH56" i="41"/>
  <c r="AI56" i="41" s="1"/>
  <c r="Z56" i="41"/>
  <c r="Y56" i="41"/>
  <c r="AR56" i="41" s="1"/>
  <c r="N56" i="41"/>
  <c r="Y19" i="41"/>
  <c r="AR19" i="41" s="1"/>
  <c r="Z19" i="41"/>
  <c r="AA18" i="41"/>
  <c r="Z18" i="41"/>
  <c r="M18" i="41"/>
  <c r="N18" i="41"/>
  <c r="M20" i="41"/>
  <c r="AA20" i="41"/>
  <c r="Z20" i="41"/>
  <c r="Y20" i="41"/>
  <c r="AR20" i="41" s="1"/>
  <c r="AH45" i="41"/>
  <c r="AI45" i="41" s="1"/>
  <c r="AP32" i="41"/>
  <c r="AS32" i="41" s="1"/>
  <c r="AN45" i="41"/>
  <c r="AO45" i="41" s="1"/>
  <c r="AR47" i="41"/>
  <c r="AQ32" i="41"/>
  <c r="AN16" i="41"/>
  <c r="AO16" i="41" s="1"/>
  <c r="AK16" i="41"/>
  <c r="AL16" i="41" s="1"/>
  <c r="AH52" i="41"/>
  <c r="AN52" i="41"/>
  <c r="AO52" i="41" s="1"/>
  <c r="AK52" i="41"/>
  <c r="AL52" i="41" s="1"/>
  <c r="AI48" i="41"/>
  <c r="AC48" i="41" s="1"/>
  <c r="AP48" i="41"/>
  <c r="AH55" i="41"/>
  <c r="AN55" i="41"/>
  <c r="AO55" i="41" s="1"/>
  <c r="AK55" i="41"/>
  <c r="AL55" i="41" s="1"/>
  <c r="AN54" i="41"/>
  <c r="AO54" i="41" s="1"/>
  <c r="AK54" i="41"/>
  <c r="AL54" i="41" s="1"/>
  <c r="AH54" i="41"/>
  <c r="AI54" i="41" s="1"/>
  <c r="AN50" i="41"/>
  <c r="AO50" i="41" s="1"/>
  <c r="AK50" i="41"/>
  <c r="AL50" i="41" s="1"/>
  <c r="AH50" i="41"/>
  <c r="AK40" i="41"/>
  <c r="AL40" i="41" s="1"/>
  <c r="AH40" i="41"/>
  <c r="AN40" i="41"/>
  <c r="AO40" i="41" s="1"/>
  <c r="AI29" i="41"/>
  <c r="AC29" i="41" s="1"/>
  <c r="AP29" i="41"/>
  <c r="AS29" i="41" s="1"/>
  <c r="AQ30" i="41"/>
  <c r="AN44" i="41"/>
  <c r="AO44" i="41" s="1"/>
  <c r="AK44" i="41"/>
  <c r="AL44" i="41" s="1"/>
  <c r="AH44" i="41"/>
  <c r="AK38" i="41"/>
  <c r="AL38" i="41" s="1"/>
  <c r="AH38" i="41"/>
  <c r="AN38" i="41"/>
  <c r="AO38" i="41" s="1"/>
  <c r="AI43" i="41"/>
  <c r="AC43" i="41" s="1"/>
  <c r="AP43" i="41"/>
  <c r="AS43" i="41" s="1"/>
  <c r="AP37" i="41"/>
  <c r="AS37" i="41" s="1"/>
  <c r="AI37" i="41"/>
  <c r="AC37" i="41" s="1"/>
  <c r="AN33" i="41"/>
  <c r="AO33" i="41" s="1"/>
  <c r="AK33" i="41"/>
  <c r="AL33" i="41" s="1"/>
  <c r="AH33" i="41"/>
  <c r="AN42" i="41"/>
  <c r="AO42" i="41" s="1"/>
  <c r="AK42" i="41"/>
  <c r="AL42" i="41" s="1"/>
  <c r="AH42" i="41"/>
  <c r="AK36" i="41"/>
  <c r="AL36" i="41" s="1"/>
  <c r="AH36" i="41"/>
  <c r="AN36" i="41"/>
  <c r="AO36" i="41" s="1"/>
  <c r="AN31" i="41"/>
  <c r="AO31" i="41" s="1"/>
  <c r="AK31" i="41"/>
  <c r="AL31" i="41" s="1"/>
  <c r="AH31" i="41"/>
  <c r="AN46" i="41"/>
  <c r="AO46" i="41" s="1"/>
  <c r="AK46" i="41"/>
  <c r="AL46" i="41" s="1"/>
  <c r="AH46" i="41"/>
  <c r="AP30" i="41"/>
  <c r="AS30" i="41" s="1"/>
  <c r="AP35" i="41"/>
  <c r="AS35" i="41" s="1"/>
  <c r="AI35" i="41"/>
  <c r="AC35" i="41" s="1"/>
  <c r="AH25" i="41"/>
  <c r="AN25" i="41"/>
  <c r="AO25" i="41" s="1"/>
  <c r="AK25" i="41"/>
  <c r="AL25" i="41" s="1"/>
  <c r="AH23" i="41"/>
  <c r="AK23" i="41"/>
  <c r="AL23" i="41" s="1"/>
  <c r="AN23" i="41"/>
  <c r="AO23" i="41" s="1"/>
  <c r="AN21" i="41"/>
  <c r="AO21" i="41" s="1"/>
  <c r="AK21" i="41"/>
  <c r="AL21" i="41" s="1"/>
  <c r="AN19" i="41"/>
  <c r="AO19" i="41" s="1"/>
  <c r="AH19" i="41"/>
  <c r="AK19" i="41"/>
  <c r="AL19" i="41" s="1"/>
  <c r="AN17" i="41"/>
  <c r="AO17" i="41" s="1"/>
  <c r="AK17" i="41"/>
  <c r="AL17" i="41" s="1"/>
  <c r="AH17" i="41"/>
  <c r="AN15" i="41"/>
  <c r="AO15" i="41" s="1"/>
  <c r="AH15" i="41"/>
  <c r="AK15" i="41"/>
  <c r="AL15" i="41" s="1"/>
  <c r="AQ34" i="41" l="1"/>
  <c r="AC56" i="41"/>
  <c r="AP34" i="41"/>
  <c r="AS34" i="41" s="1"/>
  <c r="AC34" i="41"/>
  <c r="AE34" i="41" s="1"/>
  <c r="AP41" i="41"/>
  <c r="AS41" i="41" s="1"/>
  <c r="AC45" i="41"/>
  <c r="AE45" i="41" s="1"/>
  <c r="AC16" i="41"/>
  <c r="AE16" i="41" s="1"/>
  <c r="AC53" i="41"/>
  <c r="AE53" i="41" s="1"/>
  <c r="AC41" i="41"/>
  <c r="AE41" i="41" s="1"/>
  <c r="AC54" i="41"/>
  <c r="AH57" i="41"/>
  <c r="AI57" i="41" s="1"/>
  <c r="AK57" i="41"/>
  <c r="AL57" i="41" s="1"/>
  <c r="AP53" i="41"/>
  <c r="AS53" i="41" s="1"/>
  <c r="Y65" i="41"/>
  <c r="AK47" i="41"/>
  <c r="AL47" i="41" s="1"/>
  <c r="AN47" i="41"/>
  <c r="AO47" i="41" s="1"/>
  <c r="AH47" i="41"/>
  <c r="AI47" i="41" s="1"/>
  <c r="AH39" i="41"/>
  <c r="AN39" i="41"/>
  <c r="AO39" i="41" s="1"/>
  <c r="AK39" i="41"/>
  <c r="AL39" i="41" s="1"/>
  <c r="Y68" i="41"/>
  <c r="AS48" i="41"/>
  <c r="AP56" i="41"/>
  <c r="AS56" i="41" s="1"/>
  <c r="AK22" i="41"/>
  <c r="AL22" i="41" s="1"/>
  <c r="AN22" i="41"/>
  <c r="AO22" i="41" s="1"/>
  <c r="AH22" i="41"/>
  <c r="AQ56" i="41"/>
  <c r="AH18" i="41"/>
  <c r="AK18" i="41"/>
  <c r="AL18" i="41" s="1"/>
  <c r="AN18" i="41"/>
  <c r="AO18" i="41" s="1"/>
  <c r="AH20" i="41"/>
  <c r="AN20" i="41"/>
  <c r="AO20" i="41" s="1"/>
  <c r="AK20" i="41"/>
  <c r="AL20" i="41" s="1"/>
  <c r="AP45" i="41"/>
  <c r="AS45" i="41" s="1"/>
  <c r="AQ16" i="41"/>
  <c r="AP16" i="41"/>
  <c r="AS16" i="41" s="1"/>
  <c r="AP54" i="41"/>
  <c r="AS54" i="41" s="1"/>
  <c r="AP52" i="41"/>
  <c r="AS52" i="41" s="1"/>
  <c r="AI52" i="41"/>
  <c r="AC52" i="41" s="1"/>
  <c r="AP50" i="41"/>
  <c r="AS50" i="41" s="1"/>
  <c r="AI50" i="41"/>
  <c r="AC50" i="41" s="1"/>
  <c r="AP55" i="41"/>
  <c r="AS55" i="41" s="1"/>
  <c r="AI55" i="41"/>
  <c r="AC55" i="41" s="1"/>
  <c r="AQ53" i="41"/>
  <c r="AQ48" i="41"/>
  <c r="AE48" i="41"/>
  <c r="AI38" i="41"/>
  <c r="AC38" i="41" s="1"/>
  <c r="AP38" i="41"/>
  <c r="AS38" i="41" s="1"/>
  <c r="AP31" i="41"/>
  <c r="AS31" i="41" s="1"/>
  <c r="AI31" i="41"/>
  <c r="AC31" i="41" s="1"/>
  <c r="AE37" i="41"/>
  <c r="AQ37" i="41"/>
  <c r="AI33" i="41"/>
  <c r="AC33" i="41" s="1"/>
  <c r="AP33" i="41"/>
  <c r="AS33" i="41" s="1"/>
  <c r="AP44" i="41"/>
  <c r="AS44" i="41" s="1"/>
  <c r="AI44" i="41"/>
  <c r="AC44" i="41" s="1"/>
  <c r="AE29" i="41"/>
  <c r="AQ29" i="41"/>
  <c r="AE35" i="41"/>
  <c r="AQ35" i="41"/>
  <c r="AP36" i="41"/>
  <c r="AS36" i="41" s="1"/>
  <c r="AI36" i="41"/>
  <c r="AC36" i="41" s="1"/>
  <c r="AQ43" i="41"/>
  <c r="AE43" i="41"/>
  <c r="AP40" i="41"/>
  <c r="AS40" i="41" s="1"/>
  <c r="AI40" i="41"/>
  <c r="AC40" i="41" s="1"/>
  <c r="AQ45" i="41"/>
  <c r="AP46" i="41"/>
  <c r="AS46" i="41" s="1"/>
  <c r="AI46" i="41"/>
  <c r="AC46" i="41" s="1"/>
  <c r="AQ41" i="41"/>
  <c r="AP42" i="41"/>
  <c r="AS42" i="41" s="1"/>
  <c r="AI42" i="41"/>
  <c r="AC42" i="41" s="1"/>
  <c r="AP25" i="41"/>
  <c r="AS25" i="41" s="1"/>
  <c r="AI25" i="41"/>
  <c r="AC25" i="41" s="1"/>
  <c r="AP17" i="41"/>
  <c r="AS17" i="41" s="1"/>
  <c r="AI17" i="41"/>
  <c r="AC17" i="41" s="1"/>
  <c r="AI15" i="41"/>
  <c r="AC15" i="41" s="1"/>
  <c r="AP15" i="41"/>
  <c r="AS15" i="41" s="1"/>
  <c r="AP21" i="41"/>
  <c r="AS21" i="41" s="1"/>
  <c r="AC21" i="41"/>
  <c r="AI19" i="41"/>
  <c r="AC19" i="41" s="1"/>
  <c r="AP19" i="41"/>
  <c r="AS19" i="41" s="1"/>
  <c r="AP23" i="41"/>
  <c r="AS23" i="41" s="1"/>
  <c r="AI23" i="41"/>
  <c r="AC23" i="41" s="1"/>
  <c r="AC57" i="41" l="1"/>
  <c r="AE57" i="41" s="1"/>
  <c r="AC47" i="41"/>
  <c r="AP57" i="41"/>
  <c r="AS57" i="41" s="1"/>
  <c r="AP39" i="41"/>
  <c r="AS39" i="41" s="1"/>
  <c r="AI39" i="41"/>
  <c r="AC39" i="41" s="1"/>
  <c r="AP47" i="41"/>
  <c r="AS47" i="41" s="1"/>
  <c r="AE56" i="41"/>
  <c r="AP22" i="41"/>
  <c r="AS22" i="41" s="1"/>
  <c r="AI22" i="41"/>
  <c r="AC22" i="41" s="1"/>
  <c r="AI18" i="41"/>
  <c r="AC18" i="41" s="1"/>
  <c r="AP18" i="41"/>
  <c r="AS18" i="41" s="1"/>
  <c r="AI20" i="41"/>
  <c r="AC20" i="41" s="1"/>
  <c r="AP20" i="41"/>
  <c r="AS20" i="41" s="1"/>
  <c r="AE55" i="41"/>
  <c r="AQ55" i="41"/>
  <c r="AE52" i="41"/>
  <c r="AQ52" i="41"/>
  <c r="AQ57" i="41"/>
  <c r="AE50" i="41"/>
  <c r="AQ50" i="41"/>
  <c r="AE54" i="41"/>
  <c r="AQ54" i="41"/>
  <c r="AE36" i="41"/>
  <c r="AQ36" i="41"/>
  <c r="AE44" i="41"/>
  <c r="AQ44" i="41"/>
  <c r="AE40" i="41"/>
  <c r="AQ40" i="41"/>
  <c r="AE31" i="41"/>
  <c r="AQ31" i="41"/>
  <c r="AE33" i="41"/>
  <c r="AQ33" i="41"/>
  <c r="AE42" i="41"/>
  <c r="AQ42" i="41"/>
  <c r="AE46" i="41"/>
  <c r="AQ46" i="41"/>
  <c r="AE38" i="41"/>
  <c r="AQ38" i="41"/>
  <c r="AE25" i="41"/>
  <c r="AQ25" i="41"/>
  <c r="AQ23" i="41"/>
  <c r="AE23" i="41"/>
  <c r="AE19" i="41"/>
  <c r="AQ19" i="41"/>
  <c r="AE15" i="41"/>
  <c r="AQ15" i="41"/>
  <c r="AE21" i="41"/>
  <c r="AQ21" i="41"/>
  <c r="AE17" i="41"/>
  <c r="AQ17" i="41"/>
  <c r="AQ47" i="41" l="1"/>
  <c r="AE47" i="41"/>
  <c r="AE39" i="41"/>
  <c r="AQ39" i="41"/>
  <c r="AE22" i="41"/>
  <c r="AQ22" i="41"/>
  <c r="AQ18" i="41"/>
  <c r="AE18" i="41"/>
  <c r="AQ20" i="41"/>
  <c r="AE20" i="41"/>
  <c r="XEN58" i="41"/>
  <c r="AT14" i="41"/>
  <c r="AU14" i="41" s="1"/>
  <c r="AV14" i="41" s="1"/>
  <c r="AD14" i="41"/>
  <c r="S14" i="41"/>
  <c r="Q14" i="41"/>
  <c r="Z14" i="41"/>
  <c r="K14" i="41"/>
  <c r="C14" i="41"/>
  <c r="AT13" i="41"/>
  <c r="AU13" i="41" s="1"/>
  <c r="AV13" i="41" s="1"/>
  <c r="AD13" i="41"/>
  <c r="S13" i="41"/>
  <c r="Q13" i="41"/>
  <c r="K13" i="41"/>
  <c r="C13" i="41"/>
  <c r="Z13" i="41" s="1"/>
  <c r="AT12" i="41"/>
  <c r="AU12" i="41" s="1"/>
  <c r="AV12" i="41" s="1"/>
  <c r="AD12" i="41"/>
  <c r="S12" i="41"/>
  <c r="K12" i="41"/>
  <c r="C12" i="41"/>
  <c r="AT11" i="41"/>
  <c r="AU11" i="41" s="1"/>
  <c r="AV11" i="41" s="1"/>
  <c r="AD11" i="41"/>
  <c r="S11" i="41"/>
  <c r="Q11" i="41"/>
  <c r="K11" i="41"/>
  <c r="C11" i="41"/>
  <c r="AT10" i="41"/>
  <c r="AU10" i="41" s="1"/>
  <c r="AV10" i="41" s="1"/>
  <c r="AD10" i="41"/>
  <c r="S10" i="41"/>
  <c r="Q10" i="41"/>
  <c r="K10" i="41"/>
  <c r="C10" i="41"/>
  <c r="Z10" i="41" s="1"/>
  <c r="AT9" i="41"/>
  <c r="AU9" i="41" s="1"/>
  <c r="AV9" i="41" s="1"/>
  <c r="AD9" i="41"/>
  <c r="S9" i="41"/>
  <c r="Q9" i="41"/>
  <c r="Z9" i="41"/>
  <c r="A9" i="41"/>
  <c r="C9" i="41" s="1"/>
  <c r="AT7" i="41"/>
  <c r="AU7" i="41" s="1"/>
  <c r="AV7" i="41" s="1"/>
  <c r="AD7" i="41"/>
  <c r="S7" i="41"/>
  <c r="Q7" i="41"/>
  <c r="C7" i="41"/>
  <c r="AT6" i="41"/>
  <c r="AU6" i="41" s="1"/>
  <c r="AV6" i="41" s="1"/>
  <c r="AD6" i="41"/>
  <c r="S6" i="41"/>
  <c r="Q6" i="41"/>
  <c r="C6" i="41"/>
  <c r="AU5" i="41"/>
  <c r="AV5" i="41" s="1"/>
  <c r="AD5" i="41"/>
  <c r="S5" i="41"/>
  <c r="Q5" i="41"/>
  <c r="C5" i="41"/>
  <c r="M5" i="41" s="1"/>
  <c r="Z11" i="41" l="1"/>
  <c r="Y5" i="41"/>
  <c r="Z6" i="41"/>
  <c r="M13" i="41"/>
  <c r="N13" i="41"/>
  <c r="Z7" i="41"/>
  <c r="M11" i="41"/>
  <c r="AA9" i="41"/>
  <c r="AN9" i="41" s="1"/>
  <c r="AO9" i="41" s="1"/>
  <c r="N11" i="41"/>
  <c r="Y7" i="41"/>
  <c r="AR7" i="41" s="1"/>
  <c r="M9" i="41"/>
  <c r="Y10" i="41"/>
  <c r="AR10" i="41" s="1"/>
  <c r="Y11" i="41"/>
  <c r="AR11" i="41" s="1"/>
  <c r="Y13" i="41"/>
  <c r="AR13" i="41" s="1"/>
  <c r="N9" i="41"/>
  <c r="Y14" i="41"/>
  <c r="AR14" i="41" s="1"/>
  <c r="Y9" i="41"/>
  <c r="AR9" i="41" s="1"/>
  <c r="AA13" i="41"/>
  <c r="N5" i="41"/>
  <c r="AA5" i="41"/>
  <c r="Z5" i="41"/>
  <c r="AH7" i="41"/>
  <c r="AK7" i="41"/>
  <c r="AL7" i="41" s="1"/>
  <c r="AN7" i="41"/>
  <c r="AO7" i="41" s="1"/>
  <c r="AA12" i="41"/>
  <c r="M12" i="41"/>
  <c r="N12" i="41"/>
  <c r="Z12" i="41"/>
  <c r="Y12" i="41"/>
  <c r="N10" i="41"/>
  <c r="AA14" i="41"/>
  <c r="M14" i="41"/>
  <c r="N7" i="41"/>
  <c r="M6" i="41"/>
  <c r="N6" i="41"/>
  <c r="M7" i="41"/>
  <c r="N14" i="41"/>
  <c r="AA10" i="41"/>
  <c r="M10" i="41"/>
  <c r="AA11" i="41"/>
  <c r="Z58" i="41" l="1"/>
  <c r="Y6" i="41"/>
  <c r="Y58" i="41" s="1"/>
  <c r="AA6" i="41"/>
  <c r="AK6" i="41" s="1"/>
  <c r="AL6" i="41" s="1"/>
  <c r="AR12" i="41"/>
  <c r="Y66" i="41"/>
  <c r="AH9" i="41"/>
  <c r="AI9" i="41" s="1"/>
  <c r="AK9" i="41"/>
  <c r="AN13" i="41"/>
  <c r="AO13" i="41" s="1"/>
  <c r="AK13" i="41"/>
  <c r="AL13" i="41" s="1"/>
  <c r="AH13" i="41"/>
  <c r="AN10" i="41"/>
  <c r="AO10" i="41" s="1"/>
  <c r="AK10" i="41"/>
  <c r="AL10" i="41" s="1"/>
  <c r="AH10" i="41"/>
  <c r="AP7" i="41"/>
  <c r="AS7" i="41" s="1"/>
  <c r="AI7" i="41"/>
  <c r="AC7" i="41" s="1"/>
  <c r="AN14" i="41"/>
  <c r="AO14" i="41" s="1"/>
  <c r="AK14" i="41"/>
  <c r="AL14" i="41" s="1"/>
  <c r="AH14" i="41"/>
  <c r="AR5" i="41"/>
  <c r="AN12" i="41"/>
  <c r="AO12" i="41" s="1"/>
  <c r="AK12" i="41"/>
  <c r="AL12" i="41" s="1"/>
  <c r="AH12" i="41"/>
  <c r="AH5" i="41"/>
  <c r="AN5" i="41"/>
  <c r="AK5" i="41"/>
  <c r="AN11" i="41"/>
  <c r="AO11" i="41" s="1"/>
  <c r="AK11" i="41"/>
  <c r="AL11" i="41" s="1"/>
  <c r="AH11" i="41"/>
  <c r="N58" i="41"/>
  <c r="Y3" i="41" l="1"/>
  <c r="AA3" i="41"/>
  <c r="Y67" i="41"/>
  <c r="Y69" i="41" s="1"/>
  <c r="AR6" i="41"/>
  <c r="AR58" i="41" s="1"/>
  <c r="AA58" i="41"/>
  <c r="AN6" i="41"/>
  <c r="AO6" i="41" s="1"/>
  <c r="AH65" i="41"/>
  <c r="AH6" i="41"/>
  <c r="AH2" i="41" s="1"/>
  <c r="AL9" i="41"/>
  <c r="AC9" i="41" s="1"/>
  <c r="AP9" i="41"/>
  <c r="AS9" i="41" s="1"/>
  <c r="AI13" i="41"/>
  <c r="AC13" i="41" s="1"/>
  <c r="AP13" i="41"/>
  <c r="AS13" i="41" s="1"/>
  <c r="AI11" i="41"/>
  <c r="AC11" i="41" s="1"/>
  <c r="AP11" i="41"/>
  <c r="AS11" i="41" s="1"/>
  <c r="AP14" i="41"/>
  <c r="AS14" i="41" s="1"/>
  <c r="AI14" i="41"/>
  <c r="AC14" i="41" s="1"/>
  <c r="AE7" i="41"/>
  <c r="AQ7" i="41"/>
  <c r="AK58" i="41"/>
  <c r="AL5" i="41"/>
  <c r="AK2" i="41"/>
  <c r="AH61" i="41"/>
  <c r="AO5" i="41"/>
  <c r="AP12" i="41"/>
  <c r="AS12" i="41" s="1"/>
  <c r="AI12" i="41"/>
  <c r="AC12" i="41" s="1"/>
  <c r="AI10" i="41"/>
  <c r="AC10" i="41" s="1"/>
  <c r="AP10" i="41"/>
  <c r="AS10" i="41" s="1"/>
  <c r="AP5" i="41"/>
  <c r="AI5" i="41"/>
  <c r="AN58" i="41" l="1"/>
  <c r="AN2" i="41"/>
  <c r="AP6" i="41"/>
  <c r="AS6" i="41" s="1"/>
  <c r="AH58" i="41"/>
  <c r="AI6" i="41"/>
  <c r="AE9" i="41"/>
  <c r="AQ9" i="41"/>
  <c r="AE13" i="41"/>
  <c r="AQ13" i="41"/>
  <c r="AC5" i="41"/>
  <c r="AE5" i="41" s="1"/>
  <c r="AQ5" i="41"/>
  <c r="AQ12" i="41"/>
  <c r="AE12" i="41"/>
  <c r="AQ11" i="41"/>
  <c r="AE11" i="41"/>
  <c r="AS5" i="41"/>
  <c r="AQ10" i="41"/>
  <c r="AE10" i="41"/>
  <c r="AQ14" i="41"/>
  <c r="AE14" i="41"/>
  <c r="AP3" i="41" l="1"/>
  <c r="AC6" i="41"/>
  <c r="AE6" i="41" s="1"/>
  <c r="AP58" i="41"/>
  <c r="AQ6" i="41"/>
  <c r="AH60" i="41" l="1"/>
  <c r="AS58" i="41"/>
  <c r="AH62" i="41" l="1"/>
  <c r="AE64" i="41"/>
  <c r="AH64" i="41"/>
</calcChain>
</file>

<file path=xl/sharedStrings.xml><?xml version="1.0" encoding="utf-8"?>
<sst xmlns="http://schemas.openxmlformats.org/spreadsheetml/2006/main" count="2740" uniqueCount="289">
  <si>
    <t xml:space="preserve">CHOPP HEINEKEN 5LT </t>
  </si>
  <si>
    <t>CERVEJA LAGUNITAS LA 350ML IPA</t>
  </si>
  <si>
    <t xml:space="preserve">CERVEJA LAGUNITAS LN 355ML </t>
  </si>
  <si>
    <t xml:space="preserve">CERVEJA HEINEKEN ONE WAY 600ML </t>
  </si>
  <si>
    <t xml:space="preserve">CERVEJA HEINEKEN LN 330 ML </t>
  </si>
  <si>
    <t xml:space="preserve">CERVEJA HEINEKEN LN 250ML </t>
  </si>
  <si>
    <t>CERVEJA HEINEKEN 269ML</t>
  </si>
  <si>
    <t xml:space="preserve">CERVEJA HEINEKEN 0% ALCOOL LN 330ML </t>
  </si>
  <si>
    <t>CERVEJA EISENBAHN UNFILTERED LN 355ML</t>
  </si>
  <si>
    <t>CERVEJA EISENBAHN UNFILTERED LA 350ML</t>
  </si>
  <si>
    <t xml:space="preserve">CERVEJA EISENBAHN PILSEN LN 355ML </t>
  </si>
  <si>
    <t xml:space="preserve">CERVEJA EISENBAHN PILSEN 350ML </t>
  </si>
  <si>
    <t xml:space="preserve">CERVEJA EISENBAHN PILSEN 269ML </t>
  </si>
  <si>
    <t xml:space="preserve">CERVEJA EISENBAHN WEIZENBIER LN 355ML </t>
  </si>
  <si>
    <t>CERVEJA EISENBAHN SESSION IPA LA 350ML</t>
  </si>
  <si>
    <t xml:space="preserve">CERVEJA EISENBAHN PALE ALE LN 355ML </t>
  </si>
  <si>
    <t xml:space="preserve">CERVEJA EISENBAHN PALE ALE LT 350ML </t>
  </si>
  <si>
    <t xml:space="preserve">CERVEJA EISENBAHN IPA LN 355ML </t>
  </si>
  <si>
    <t xml:space="preserve">CERVEJA EISENBAHN IPA LATA 350 ML </t>
  </si>
  <si>
    <t xml:space="preserve">CERVEJA BLUE MOON LN 355ML </t>
  </si>
  <si>
    <t xml:space="preserve">CERVEJA BLUE MOON LA 350ML </t>
  </si>
  <si>
    <t xml:space="preserve">CERVEJA BADEN WITBIER LA 350ML </t>
  </si>
  <si>
    <t>CERVEJA BADEN PEACH LA 350ML</t>
  </si>
  <si>
    <t>CERVEJA BADEN IPA LA 350ML</t>
  </si>
  <si>
    <t>CERVEJA BADEN CRISTAL LA 350ML</t>
  </si>
  <si>
    <t xml:space="preserve">CERVEJA BADEN WITIBIER 600ML </t>
  </si>
  <si>
    <t xml:space="preserve">CERVEJA BADEN GOLDEN 600ML </t>
  </si>
  <si>
    <t xml:space="preserve">CERVEJA BADEN CRISTAL 600ML </t>
  </si>
  <si>
    <t xml:space="preserve">CERVEJA BADEN IPA 600ML </t>
  </si>
  <si>
    <t xml:space="preserve">CERVEJA AMSTEL ULTRA LN 275 ML </t>
  </si>
  <si>
    <t xml:space="preserve">CERVEJA AMSTEL 269ML </t>
  </si>
  <si>
    <t>Verba unidade</t>
  </si>
  <si>
    <t xml:space="preserve">Verba Gerado </t>
  </si>
  <si>
    <t>R$/HL</t>
  </si>
  <si>
    <t>TOTAL PEDIDO NF</t>
  </si>
  <si>
    <t>VERBA TOTAL SELL IN</t>
  </si>
  <si>
    <t>* VERBA ADIC UND</t>
  </si>
  <si>
    <t>VERBA ADIC CX</t>
  </si>
  <si>
    <t>* VERBA SELL IN UND</t>
  </si>
  <si>
    <t>VERBA    SELL IN CX</t>
  </si>
  <si>
    <t>QTDE CARRO</t>
  </si>
  <si>
    <t>QTDE PALETE</t>
  </si>
  <si>
    <t xml:space="preserve">QTDE COMPRA </t>
  </si>
  <si>
    <t>CARGA</t>
  </si>
  <si>
    <t>PALETE</t>
  </si>
  <si>
    <t>CX</t>
  </si>
  <si>
    <t>PRODUTO</t>
  </si>
  <si>
    <t>CÓDIGO</t>
  </si>
  <si>
    <t xml:space="preserve"> Unidade total </t>
  </si>
  <si>
    <t xml:space="preserve">Gerado total </t>
  </si>
  <si>
    <t>Verba Adicional</t>
  </si>
  <si>
    <t>Verba Calendario TPR</t>
  </si>
  <si>
    <t>HL</t>
  </si>
  <si>
    <t>CERVEJA AMSTEL 350ML SLEEK</t>
  </si>
  <si>
    <t>CERVEJA HEINEKEN 0% ALCOOL LA 350ML SLEEK</t>
  </si>
  <si>
    <t>CERVEJA HEINEKEN 350ML SLEEK</t>
  </si>
  <si>
    <t xml:space="preserve">CERVEJA BADEN PEACH 600ML </t>
  </si>
  <si>
    <t>Back Margem</t>
  </si>
  <si>
    <t>TT Investimento Liberado</t>
  </si>
  <si>
    <t>Total de Investimento Gerado</t>
  </si>
  <si>
    <t xml:space="preserve">CERVEJA SOL PREMIUM LN 330ML </t>
  </si>
  <si>
    <t>Gerado</t>
  </si>
  <si>
    <t>Coeficiente</t>
  </si>
  <si>
    <t>Em caixas</t>
  </si>
  <si>
    <t>CERVEJA HEINEKEN 0% ALCOOL LA 269ML</t>
  </si>
  <si>
    <t>PREÇO PROMO</t>
  </si>
  <si>
    <t>PREÇO REGULAR</t>
  </si>
  <si>
    <t>CUSTO CX NF</t>
  </si>
  <si>
    <t>CUSTO UNI. NF</t>
  </si>
  <si>
    <t>NOVO CUSTO</t>
  </si>
  <si>
    <t>Margem entregue no promo</t>
  </si>
  <si>
    <t>Diferença</t>
  </si>
  <si>
    <t>Categoria</t>
  </si>
  <si>
    <t>Marcas</t>
  </si>
  <si>
    <t>Premium</t>
  </si>
  <si>
    <t>Heineken</t>
  </si>
  <si>
    <t>Craft</t>
  </si>
  <si>
    <t>Lagunitas</t>
  </si>
  <si>
    <t>Sol</t>
  </si>
  <si>
    <t>Eisenbahn</t>
  </si>
  <si>
    <t>Baden</t>
  </si>
  <si>
    <t>Blue Moon</t>
  </si>
  <si>
    <t>Mainstream</t>
  </si>
  <si>
    <t>Amstel</t>
  </si>
  <si>
    <t>CÓDIGO SAP HNK</t>
  </si>
  <si>
    <t>HL Act Restrito</t>
  </si>
  <si>
    <t>% Gerado</t>
  </si>
  <si>
    <t>% Liberdo</t>
  </si>
  <si>
    <t>Sell in pedido</t>
  </si>
  <si>
    <t>Premiun</t>
  </si>
  <si>
    <t>Fechamento por categoria</t>
  </si>
  <si>
    <t xml:space="preserve"> </t>
  </si>
  <si>
    <t>Nab</t>
  </si>
  <si>
    <t>Fys</t>
  </si>
  <si>
    <t>REFRIGERANTE FYS LIMÃO 350 ML</t>
  </si>
  <si>
    <t>REFRIGERANTE FYS GUARANÁ 350 ML</t>
  </si>
  <si>
    <t>REFRIGERANTE FYS LARANJA 350 ML</t>
  </si>
  <si>
    <t>Fys Tônica</t>
  </si>
  <si>
    <t>REFRIGERANTE FYS TÔNICA 350 ML</t>
  </si>
  <si>
    <t>REFRIGERANTE FYS TÔNICA ZERO 350 ML</t>
  </si>
  <si>
    <t>Itubaina</t>
  </si>
  <si>
    <t>REFRIGERANTE ITUBAINA RETRO LN 355 ML</t>
  </si>
  <si>
    <t>REFRIGERANTE ITUBAINA RETRO LATA 350 ML</t>
  </si>
  <si>
    <t>REFRIGERANTE ITUBAINA PET 500 ML</t>
  </si>
  <si>
    <t>Refrigerante</t>
  </si>
  <si>
    <t>Saving</t>
  </si>
  <si>
    <t>Itu</t>
  </si>
  <si>
    <t>CNPJ</t>
  </si>
  <si>
    <t>SP</t>
  </si>
  <si>
    <t>Cidade</t>
  </si>
  <si>
    <t>Razão social</t>
  </si>
  <si>
    <t>Inscrição estadual</t>
  </si>
  <si>
    <t>Endereço</t>
  </si>
  <si>
    <t>Número</t>
  </si>
  <si>
    <t>Bairro</t>
  </si>
  <si>
    <t>Estado</t>
  </si>
  <si>
    <t>Cep</t>
  </si>
  <si>
    <t>Ponta Grossa</t>
  </si>
  <si>
    <t>Cara-Cara</t>
  </si>
  <si>
    <t>PR</t>
  </si>
  <si>
    <t>Araraquara</t>
  </si>
  <si>
    <t>Jacarei</t>
  </si>
  <si>
    <t xml:space="preserve">CERVEJA AMSTEL LN 355ML </t>
  </si>
  <si>
    <t>Total Investimento Liberado</t>
  </si>
  <si>
    <t>Cód. SKU</t>
  </si>
  <si>
    <t>Marca</t>
  </si>
  <si>
    <t>Embalagem</t>
  </si>
  <si>
    <t>Sabor</t>
  </si>
  <si>
    <t>Vidro 355ml</t>
  </si>
  <si>
    <t>Witbier</t>
  </si>
  <si>
    <t>Lata 350ml</t>
  </si>
  <si>
    <t>India Pale Ale</t>
  </si>
  <si>
    <t>Pale Ale</t>
  </si>
  <si>
    <t>Weizenbier</t>
  </si>
  <si>
    <t>Session Ipa</t>
  </si>
  <si>
    <t>Baden - Baden</t>
  </si>
  <si>
    <t>Vidro 600ml</t>
  </si>
  <si>
    <t>Ale Golden</t>
  </si>
  <si>
    <t>Peach</t>
  </si>
  <si>
    <t>Pilsen Cristal</t>
  </si>
  <si>
    <t>Chocolate Beer</t>
  </si>
  <si>
    <t>Praya</t>
  </si>
  <si>
    <t>Receita Classica</t>
  </si>
  <si>
    <t>Lata 269ml</t>
  </si>
  <si>
    <t>Lager</t>
  </si>
  <si>
    <t>Lata Sleek 350ml</t>
  </si>
  <si>
    <t>Amstel Ultra</t>
  </si>
  <si>
    <t>Vidro 275ml</t>
  </si>
  <si>
    <t>Mamba Waters</t>
  </si>
  <si>
    <t>Com Gás</t>
  </si>
  <si>
    <t>Sem Gás</t>
  </si>
  <si>
    <t>Guaraná</t>
  </si>
  <si>
    <t>Laranja</t>
  </si>
  <si>
    <t>Limão</t>
  </si>
  <si>
    <t>Tônica</t>
  </si>
  <si>
    <t>Tônica Zero</t>
  </si>
  <si>
    <t>Pet 500ml</t>
  </si>
  <si>
    <t>Itubaína</t>
  </si>
  <si>
    <t>Itubaína Zero</t>
  </si>
  <si>
    <t>Baer Mate</t>
  </si>
  <si>
    <t>Mate</t>
  </si>
  <si>
    <t>Vidro 350ml</t>
  </si>
  <si>
    <t>Baer Matcha</t>
  </si>
  <si>
    <t>Matcha</t>
  </si>
  <si>
    <t>Pilsen</t>
  </si>
  <si>
    <t>Eisenbahn Unfiltered</t>
  </si>
  <si>
    <t>Pilsen Unfiltered</t>
  </si>
  <si>
    <t>Keg 5L</t>
  </si>
  <si>
    <t>Vidro 250ml</t>
  </si>
  <si>
    <t>Vidro 330ml</t>
  </si>
  <si>
    <t>Sol Premium</t>
  </si>
  <si>
    <t>Vidro 330ml Pry Off</t>
  </si>
  <si>
    <t>Heineken 0.0%</t>
  </si>
  <si>
    <t>Pilsen Zero</t>
  </si>
  <si>
    <t>Restrito vs Meta</t>
  </si>
  <si>
    <t>Meta</t>
  </si>
  <si>
    <t>Aumenta</t>
  </si>
  <si>
    <t>Diminui</t>
  </si>
  <si>
    <t>Meta final</t>
  </si>
  <si>
    <t>Vermelhão</t>
  </si>
  <si>
    <t>Vidro 740ml</t>
  </si>
  <si>
    <t>Amaro</t>
  </si>
  <si>
    <t>Clashd</t>
  </si>
  <si>
    <t>Maçã</t>
  </si>
  <si>
    <t>Limão Zero</t>
  </si>
  <si>
    <t>Guaraná Zero</t>
  </si>
  <si>
    <t>Lata 473ml</t>
  </si>
  <si>
    <t>Blue Moon Witbier Vidro 355ml</t>
  </si>
  <si>
    <t>Blue Moon Witbier Lata 350ml</t>
  </si>
  <si>
    <t>Eisenbahn India Pale Ale Vidro 355ml</t>
  </si>
  <si>
    <t>Eisenbahn Pale Ale Vidro 355ml</t>
  </si>
  <si>
    <t>Eisenbahn Weizenbier Vidro 355ml</t>
  </si>
  <si>
    <t>Eisenbahn India Pale Ale Lata 350ml</t>
  </si>
  <si>
    <t>Eisenbahn Pale Ale Lata 350ml</t>
  </si>
  <si>
    <t>Lagunitas India Pale Ale Vidro 355ml</t>
  </si>
  <si>
    <t>Lagunitas India Pale Ale Lata 350ml</t>
  </si>
  <si>
    <t>Baden - Baden Ale Golden Vidro 600ml</t>
  </si>
  <si>
    <t>Baden - Baden India Pale Ale Vidro 600ml</t>
  </si>
  <si>
    <t>Baden - Baden Peach Vidro 600ml</t>
  </si>
  <si>
    <t>Baden - Baden Pilsen Cristal Vidro 600ml</t>
  </si>
  <si>
    <t>Baden - Baden Witbier Vidro 600ml</t>
  </si>
  <si>
    <t>Baden - Baden India Pale Ale Lata 350ml</t>
  </si>
  <si>
    <t>Baden - Baden Peach Lata 350ml</t>
  </si>
  <si>
    <t>Baden - Baden Pilsen Cristal Lata 350ml</t>
  </si>
  <si>
    <t>Baden - Baden Witbier Lata 350ml</t>
  </si>
  <si>
    <t>Praya Receita Classica Vidro 600ml</t>
  </si>
  <si>
    <t>Praya Receita Classica Vidro 355ml</t>
  </si>
  <si>
    <t>Praya Receita Classica Lata 269ml</t>
  </si>
  <si>
    <t>Amstel Lager Vidro 355ml</t>
  </si>
  <si>
    <t>Amstel Lager Lata 269ml</t>
  </si>
  <si>
    <t>Amstel Lager Lata Sleek 350ml</t>
  </si>
  <si>
    <t>Amstel Ultra Lager Vidro 275ml</t>
  </si>
  <si>
    <t>Mamba Waters Com Gás Lata 350ml</t>
  </si>
  <si>
    <t>Mamba Waters Sem Gás Lata 350ml</t>
  </si>
  <si>
    <t>Clashd Maçã Lata 269ml</t>
  </si>
  <si>
    <t>Fys Guaraná Lata 350ml</t>
  </si>
  <si>
    <t>Fys Laranja Lata 350ml</t>
  </si>
  <si>
    <t>Fys Limão Lata 350ml</t>
  </si>
  <si>
    <t>Fys Tônica Lata 350ml</t>
  </si>
  <si>
    <t>Fys Tônica Zero Lata 350ml</t>
  </si>
  <si>
    <t>Fys Limão Zero Lata 350ml</t>
  </si>
  <si>
    <t>Fys Guaraná Zero Lata 350ml</t>
  </si>
  <si>
    <t>Itubaina Itubaína Pet 500ml</t>
  </si>
  <si>
    <t>Itubaina Itubaína Vidro 355ml</t>
  </si>
  <si>
    <t>Itubaina Itubaína Lata 350ml</t>
  </si>
  <si>
    <t>Baer Mate Mate Lata 269ml</t>
  </si>
  <si>
    <t>Baer Mate Mate Vidro 350ml</t>
  </si>
  <si>
    <t>Baer Matcha Matcha Vidro 350ml</t>
  </si>
  <si>
    <t>Eisenbahn Pilsen Vidro 355ml</t>
  </si>
  <si>
    <t>Eisenbahn Pilsen Lata 350ml</t>
  </si>
  <si>
    <t>Eisenbahn Pilsen Lata 269ml</t>
  </si>
  <si>
    <t>Eisenbahn Unfiltered Pilsen Unfiltered Vidro 355ml</t>
  </si>
  <si>
    <t>Eisenbahn Unfiltered Pilsen Unfiltered Lata 350ml</t>
  </si>
  <si>
    <t>Heineken Pilsen Keg 5L</t>
  </si>
  <si>
    <t>Heineken Pilsen Vidro 600ml</t>
  </si>
  <si>
    <t>Heineken Pilsen Lata 473ml</t>
  </si>
  <si>
    <t>Heineken Pilsen Lata 269ml</t>
  </si>
  <si>
    <t>Heineken Pilsen Vidro 250ml</t>
  </si>
  <si>
    <t>Heineken Pilsen Vidro 330ml</t>
  </si>
  <si>
    <t>Heineken Pilsen Lata Sleek 350ml</t>
  </si>
  <si>
    <t>Sol Premium Pilsen Vidro 330ml</t>
  </si>
  <si>
    <t>Heineken 0.0% Pilsen Zero Lata 269ml</t>
  </si>
  <si>
    <t>Heineken 0.0% Pilsen Zero Vidro 330ml</t>
  </si>
  <si>
    <t>Heineken 0.0% Pilsen Zero Lata Sleek 350ml</t>
  </si>
  <si>
    <t>Sol Premium 0.0% Pilsen Zero Vidro 330ml</t>
  </si>
  <si>
    <t>Custo Unitário</t>
  </si>
  <si>
    <t xml:space="preserve">CERVEJA SOL 0% PREMIUM LN 330ML </t>
  </si>
  <si>
    <t xml:space="preserve">CERVEJA AMSTEL ULTRA 269 ML </t>
  </si>
  <si>
    <t>REFRIGERANTE FYS LIMÃO ZERO 350 ML</t>
  </si>
  <si>
    <t>REFRIGERANTE FYS GUARANÁ ZERO 350 ML</t>
  </si>
  <si>
    <t>634958</t>
  </si>
  <si>
    <t>634957</t>
  </si>
  <si>
    <t>631974</t>
  </si>
  <si>
    <t>905271</t>
  </si>
  <si>
    <t xml:space="preserve">CERVEJA PRAYA LAGER 355ML </t>
  </si>
  <si>
    <t>CERVEJA PRAYA RECEITA CLÁSSICA LN 355ML</t>
  </si>
  <si>
    <t>CERVEJA PRAYA RECEITA CLÁSSICA 600ML</t>
  </si>
  <si>
    <t>Fábrica</t>
  </si>
  <si>
    <t>Razão Social</t>
  </si>
  <si>
    <t>Cnpj</t>
  </si>
  <si>
    <t>Inscrição Estadual St</t>
  </si>
  <si>
    <t>N</t>
  </si>
  <si>
    <t>CEP</t>
  </si>
  <si>
    <t>HNK BR INDUSTRIA DE BEBIDAS LTDA.</t>
  </si>
  <si>
    <t>50.221.019/0001-36</t>
  </si>
  <si>
    <t>Av Primo Schincariol</t>
  </si>
  <si>
    <t>Chácara Flórida</t>
  </si>
  <si>
    <t xml:space="preserve">Itu </t>
  </si>
  <si>
    <t>50.221.019/0104-41</t>
  </si>
  <si>
    <t>Av Presidente Humberto de Alencar Castelo Branco</t>
  </si>
  <si>
    <t>Conjunto Habitacional Marinho</t>
  </si>
  <si>
    <t>Jacareí</t>
  </si>
  <si>
    <t>50.221.019/0105-22</t>
  </si>
  <si>
    <t>Av Marginal 01</t>
  </si>
  <si>
    <t>Chácara Catani</t>
  </si>
  <si>
    <t>50.221.019/0097-88</t>
  </si>
  <si>
    <t>911.300.50.81</t>
  </si>
  <si>
    <t>Av Tocantins</t>
  </si>
  <si>
    <t>Ordem de vendas</t>
  </si>
  <si>
    <t xml:space="preserve">Diferença </t>
  </si>
  <si>
    <t>PREÇO LIBERADO TELE</t>
  </si>
  <si>
    <t>Preço Médio</t>
  </si>
  <si>
    <t>50% Volume preço Promo</t>
  </si>
  <si>
    <t>50% Volume preço Televendas</t>
  </si>
  <si>
    <t>Margem entregue</t>
  </si>
  <si>
    <t>SUGESTÃO DE PREÇO OUT'25</t>
  </si>
  <si>
    <t>Investimento solicitado pelo Assaí</t>
  </si>
  <si>
    <t>Sell in</t>
  </si>
  <si>
    <t>Sell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</si>
</sst>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00"/>
    <numFmt numFmtId="167" formatCode="0.0"/>
    <numFmt numFmtId="168" formatCode="_-* #,##0.0_-;\-* #,##0.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FFFF00"/>
      <name val="Calibri"/>
      <family val="2"/>
      <scheme val="minor"/>
    </font>
    <font>
      <sz val="9"/>
      <color rgb="FFFFFF00"/>
      <name val="Calibri"/>
      <family val="2"/>
      <scheme val="minor"/>
    </font>
    <font>
      <b/>
      <sz val="9"/>
      <color theme="9" tint="0.39997558519241921"/>
      <name val="Calibri"/>
      <family val="2"/>
      <scheme val="minor"/>
    </font>
    <font>
      <sz val="9"/>
      <color theme="5" tint="0.39997558519241921"/>
      <name val="Calibri"/>
      <family val="2"/>
      <scheme val="minor"/>
    </font>
    <font>
      <sz val="9"/>
      <color theme="4"/>
      <name val="Calibri"/>
      <family val="2"/>
      <scheme val="minor"/>
    </font>
    <font>
      <b/>
      <sz val="9"/>
      <color theme="4"/>
      <name val="Calibri"/>
      <family val="2"/>
      <scheme val="minor"/>
    </font>
    <font>
      <sz val="9"/>
      <color rgb="FFFFC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i/>
      <sz val="9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8"/>
      <color theme="0"/>
      <name val="HEINEKEN Core"/>
    </font>
    <font>
      <sz val="8"/>
      <color theme="1"/>
      <name val="HEINEKEN Core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8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4">
    <xf numFmtId="0" fontId="0" fillId="0" borderId="0" xfId="0"/>
    <xf numFmtId="0" fontId="2" fillId="0" borderId="0" xfId="0" applyFont="1"/>
    <xf numFmtId="44" fontId="2" fillId="0" borderId="0" xfId="2" applyFont="1"/>
    <xf numFmtId="44" fontId="2" fillId="0" borderId="0" xfId="0" applyNumberFormat="1" applyFont="1"/>
    <xf numFmtId="43" fontId="3" fillId="0" borderId="0" xfId="1" applyFont="1" applyAlignment="1">
      <alignment horizontal="center"/>
    </xf>
    <xf numFmtId="44" fontId="3" fillId="0" borderId="0" xfId="0" applyNumberFormat="1" applyFont="1"/>
    <xf numFmtId="43" fontId="2" fillId="0" borderId="0" xfId="0" applyNumberFormat="1" applyFont="1"/>
    <xf numFmtId="44" fontId="2" fillId="0" borderId="1" xfId="2" applyFont="1" applyBorder="1"/>
    <xf numFmtId="44" fontId="4" fillId="0" borderId="1" xfId="2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4" fontId="2" fillId="0" borderId="0" xfId="0" applyNumberFormat="1" applyFont="1"/>
    <xf numFmtId="4" fontId="3" fillId="4" borderId="1" xfId="0" applyNumberFormat="1" applyFont="1" applyFill="1" applyBorder="1" applyAlignment="1">
      <alignment horizontal="center" vertical="center"/>
    </xf>
    <xf numFmtId="44" fontId="6" fillId="10" borderId="1" xfId="2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43" fontId="6" fillId="10" borderId="1" xfId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164" fontId="2" fillId="0" borderId="0" xfId="0" applyNumberFormat="1" applyFont="1"/>
    <xf numFmtId="1" fontId="2" fillId="0" borderId="1" xfId="2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0" xfId="3" applyNumberFormat="1" applyFont="1"/>
    <xf numFmtId="44" fontId="6" fillId="10" borderId="2" xfId="2" applyFont="1" applyFill="1" applyBorder="1" applyAlignment="1">
      <alignment horizontal="center" vertical="center" wrapText="1"/>
    </xf>
    <xf numFmtId="9" fontId="2" fillId="0" borderId="0" xfId="0" applyNumberFormat="1" applyFont="1"/>
    <xf numFmtId="2" fontId="2" fillId="0" borderId="0" xfId="0" applyNumberFormat="1" applyFont="1"/>
    <xf numFmtId="1" fontId="2" fillId="0" borderId="0" xfId="0" applyNumberFormat="1" applyFont="1" applyAlignment="1">
      <alignment horizontal="center"/>
    </xf>
    <xf numFmtId="1" fontId="2" fillId="0" borderId="0" xfId="2" applyNumberFormat="1" applyFont="1" applyAlignment="1">
      <alignment horizontal="center"/>
    </xf>
    <xf numFmtId="2" fontId="4" fillId="3" borderId="1" xfId="0" applyNumberFormat="1" applyFont="1" applyFill="1" applyBorder="1" applyAlignment="1">
      <alignment horizontal="center" vertical="center"/>
    </xf>
    <xf numFmtId="0" fontId="2" fillId="6" borderId="0" xfId="0" applyFont="1" applyFill="1"/>
    <xf numFmtId="9" fontId="2" fillId="0" borderId="0" xfId="3" applyFont="1"/>
    <xf numFmtId="164" fontId="3" fillId="2" borderId="6" xfId="0" applyNumberFormat="1" applyFont="1" applyFill="1" applyBorder="1" applyAlignment="1">
      <alignment horizontal="center"/>
    </xf>
    <xf numFmtId="44" fontId="2" fillId="0" borderId="0" xfId="2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6" fillId="13" borderId="1" xfId="0" applyFont="1" applyFill="1" applyBorder="1" applyAlignment="1">
      <alignment horizontal="center" vertical="center" wrapText="1"/>
    </xf>
    <xf numFmtId="2" fontId="4" fillId="14" borderId="1" xfId="0" applyNumberFormat="1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1" fontId="2" fillId="0" borderId="0" xfId="2" applyNumberFormat="1" applyFont="1" applyBorder="1" applyAlignment="1">
      <alignment horizontal="center"/>
    </xf>
    <xf numFmtId="44" fontId="3" fillId="2" borderId="6" xfId="2" applyFont="1" applyFill="1" applyBorder="1" applyAlignment="1">
      <alignment horizontal="center"/>
    </xf>
    <xf numFmtId="44" fontId="2" fillId="0" borderId="1" xfId="0" applyNumberFormat="1" applyFont="1" applyBorder="1"/>
    <xf numFmtId="9" fontId="2" fillId="0" borderId="1" xfId="3" applyFont="1" applyBorder="1" applyAlignment="1">
      <alignment horizontal="center"/>
    </xf>
    <xf numFmtId="1" fontId="2" fillId="7" borderId="0" xfId="2" applyNumberFormat="1" applyFont="1" applyFill="1" applyBorder="1" applyAlignment="1">
      <alignment horizontal="center"/>
    </xf>
    <xf numFmtId="0" fontId="2" fillId="7" borderId="0" xfId="0" applyFont="1" applyFill="1"/>
    <xf numFmtId="44" fontId="3" fillId="2" borderId="1" xfId="2" applyFont="1" applyFill="1" applyBorder="1" applyAlignment="1">
      <alignment horizontal="center"/>
    </xf>
    <xf numFmtId="44" fontId="4" fillId="6" borderId="1" xfId="2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/>
    </xf>
    <xf numFmtId="1" fontId="7" fillId="15" borderId="0" xfId="0" applyNumberFormat="1" applyFont="1" applyFill="1" applyAlignment="1">
      <alignment horizontal="center"/>
    </xf>
    <xf numFmtId="0" fontId="6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 wrapText="1"/>
    </xf>
    <xf numFmtId="166" fontId="7" fillId="15" borderId="0" xfId="0" applyNumberFormat="1" applyFont="1" applyFill="1" applyAlignment="1">
      <alignment horizontal="center"/>
    </xf>
    <xf numFmtId="0" fontId="7" fillId="15" borderId="0" xfId="0" applyFont="1" applyFill="1" applyAlignment="1">
      <alignment horizontal="center"/>
    </xf>
    <xf numFmtId="166" fontId="6" fillId="15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0" fontId="7" fillId="7" borderId="0" xfId="0" applyFont="1" applyFill="1"/>
    <xf numFmtId="44" fontId="7" fillId="7" borderId="0" xfId="2" applyFont="1" applyFill="1" applyBorder="1"/>
    <xf numFmtId="0" fontId="6" fillId="15" borderId="0" xfId="0" applyFont="1" applyFill="1" applyAlignment="1">
      <alignment horizontal="center" vertical="center" wrapText="1"/>
    </xf>
    <xf numFmtId="0" fontId="6" fillId="15" borderId="0" xfId="0" applyFont="1" applyFill="1" applyAlignment="1">
      <alignment vertical="center" wrapText="1"/>
    </xf>
    <xf numFmtId="43" fontId="6" fillId="7" borderId="0" xfId="1" applyFont="1" applyFill="1" applyAlignment="1">
      <alignment horizontal="center"/>
    </xf>
    <xf numFmtId="44" fontId="6" fillId="7" borderId="0" xfId="2" applyFont="1" applyFill="1"/>
    <xf numFmtId="44" fontId="7" fillId="7" borderId="1" xfId="0" applyNumberFormat="1" applyFont="1" applyFill="1" applyBorder="1"/>
    <xf numFmtId="44" fontId="7" fillId="7" borderId="5" xfId="2" applyFont="1" applyFill="1" applyBorder="1"/>
    <xf numFmtId="0" fontId="6" fillId="9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11" fillId="7" borderId="0" xfId="0" applyFont="1" applyFill="1"/>
    <xf numFmtId="44" fontId="11" fillId="7" borderId="0" xfId="2" applyFont="1" applyFill="1"/>
    <xf numFmtId="10" fontId="12" fillId="7" borderId="0" xfId="3" applyNumberFormat="1" applyFont="1" applyFill="1" applyAlignment="1">
      <alignment horizontal="left"/>
    </xf>
    <xf numFmtId="44" fontId="12" fillId="7" borderId="0" xfId="0" applyNumberFormat="1" applyFont="1" applyFill="1"/>
    <xf numFmtId="0" fontId="13" fillId="7" borderId="0" xfId="0" applyFont="1" applyFill="1"/>
    <xf numFmtId="44" fontId="14" fillId="7" borderId="0" xfId="0" applyNumberFormat="1" applyFont="1" applyFill="1"/>
    <xf numFmtId="0" fontId="15" fillId="7" borderId="0" xfId="0" applyFont="1" applyFill="1"/>
    <xf numFmtId="10" fontId="11" fillId="7" borderId="0" xfId="3" applyNumberFormat="1" applyFont="1" applyFill="1"/>
    <xf numFmtId="10" fontId="15" fillId="7" borderId="0" xfId="3" applyNumberFormat="1" applyFont="1" applyFill="1"/>
    <xf numFmtId="2" fontId="5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44" fontId="2" fillId="6" borderId="0" xfId="0" applyNumberFormat="1" applyFont="1" applyFill="1"/>
    <xf numFmtId="44" fontId="16" fillId="0" borderId="1" xfId="0" applyNumberFormat="1" applyFont="1" applyBorder="1"/>
    <xf numFmtId="44" fontId="4" fillId="0" borderId="1" xfId="0" applyNumberFormat="1" applyFont="1" applyBorder="1"/>
    <xf numFmtId="43" fontId="2" fillId="6" borderId="2" xfId="1" applyFont="1" applyFill="1" applyBorder="1" applyAlignment="1">
      <alignment horizontal="center" vertical="center"/>
    </xf>
    <xf numFmtId="43" fontId="4" fillId="6" borderId="2" xfId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1" fontId="17" fillId="0" borderId="13" xfId="0" applyNumberFormat="1" applyFont="1" applyBorder="1" applyAlignment="1">
      <alignment horizontal="center" vertical="center" wrapText="1"/>
    </xf>
    <xf numFmtId="8" fontId="2" fillId="0" borderId="0" xfId="0" applyNumberFormat="1" applyFont="1"/>
    <xf numFmtId="0" fontId="19" fillId="15" borderId="0" xfId="0" applyFont="1" applyFill="1" applyAlignment="1">
      <alignment horizontal="center"/>
    </xf>
    <xf numFmtId="1" fontId="19" fillId="15" borderId="0" xfId="0" applyNumberFormat="1" applyFont="1" applyFill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164" fontId="20" fillId="0" borderId="1" xfId="1" applyNumberFormat="1" applyFont="1" applyBorder="1" applyAlignment="1">
      <alignment horizontal="center" vertical="center"/>
    </xf>
    <xf numFmtId="43" fontId="20" fillId="6" borderId="2" xfId="1" applyFont="1" applyFill="1" applyBorder="1" applyAlignment="1">
      <alignment horizontal="center" vertical="center"/>
    </xf>
    <xf numFmtId="4" fontId="20" fillId="4" borderId="1" xfId="0" applyNumberFormat="1" applyFont="1" applyFill="1" applyBorder="1" applyAlignment="1">
      <alignment horizontal="center" vertical="center"/>
    </xf>
    <xf numFmtId="2" fontId="22" fillId="3" borderId="1" xfId="0" applyNumberFormat="1" applyFont="1" applyFill="1" applyBorder="1" applyAlignment="1">
      <alignment horizontal="center" vertical="center"/>
    </xf>
    <xf numFmtId="44" fontId="22" fillId="6" borderId="1" xfId="2" applyFont="1" applyFill="1" applyBorder="1" applyAlignment="1">
      <alignment horizontal="center" vertical="center"/>
    </xf>
    <xf numFmtId="44" fontId="22" fillId="0" borderId="1" xfId="2" applyFont="1" applyFill="1" applyBorder="1" applyAlignment="1">
      <alignment horizontal="center" vertical="center"/>
    </xf>
    <xf numFmtId="164" fontId="23" fillId="2" borderId="6" xfId="0" applyNumberFormat="1" applyFont="1" applyFill="1" applyBorder="1" applyAlignment="1">
      <alignment horizontal="center"/>
    </xf>
    <xf numFmtId="0" fontId="20" fillId="7" borderId="0" xfId="0" applyFont="1" applyFill="1"/>
    <xf numFmtId="44" fontId="23" fillId="2" borderId="6" xfId="2" applyFont="1" applyFill="1" applyBorder="1" applyAlignment="1">
      <alignment horizontal="center"/>
    </xf>
    <xf numFmtId="44" fontId="20" fillId="0" borderId="1" xfId="2" applyFont="1" applyBorder="1"/>
    <xf numFmtId="44" fontId="20" fillId="0" borderId="1" xfId="0" applyNumberFormat="1" applyFont="1" applyBorder="1"/>
    <xf numFmtId="9" fontId="20" fillId="0" borderId="1" xfId="3" applyFont="1" applyBorder="1" applyAlignment="1">
      <alignment horizontal="center"/>
    </xf>
    <xf numFmtId="0" fontId="20" fillId="0" borderId="0" xfId="0" applyFont="1"/>
    <xf numFmtId="0" fontId="20" fillId="6" borderId="1" xfId="0" applyFont="1" applyFill="1" applyBorder="1" applyAlignment="1">
      <alignment horizontal="center" vertical="center"/>
    </xf>
    <xf numFmtId="4" fontId="23" fillId="4" borderId="1" xfId="0" applyNumberFormat="1" applyFont="1" applyFill="1" applyBorder="1" applyAlignment="1">
      <alignment horizontal="center" vertical="center"/>
    </xf>
    <xf numFmtId="166" fontId="19" fillId="15" borderId="0" xfId="0" applyNumberFormat="1" applyFont="1" applyFill="1" applyAlignment="1">
      <alignment horizontal="center"/>
    </xf>
    <xf numFmtId="0" fontId="6" fillId="13" borderId="0" xfId="0" applyFont="1" applyFill="1" applyAlignment="1">
      <alignment horizontal="center" vertical="center" wrapText="1"/>
    </xf>
    <xf numFmtId="44" fontId="6" fillId="10" borderId="0" xfId="2" applyFont="1" applyFill="1" applyBorder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44" fontId="6" fillId="9" borderId="0" xfId="2" applyFont="1" applyFill="1" applyAlignment="1"/>
    <xf numFmtId="0" fontId="6" fillId="11" borderId="0" xfId="0" applyFont="1" applyFill="1"/>
    <xf numFmtId="0" fontId="6" fillId="8" borderId="0" xfId="0" applyFont="1" applyFill="1"/>
    <xf numFmtId="44" fontId="7" fillId="15" borderId="8" xfId="2" applyFont="1" applyFill="1" applyBorder="1" applyAlignment="1"/>
    <xf numFmtId="44" fontId="7" fillId="15" borderId="0" xfId="2" applyFont="1" applyFill="1" applyBorder="1" applyAlignment="1"/>
    <xf numFmtId="44" fontId="6" fillId="10" borderId="0" xfId="2" applyFont="1" applyFill="1" applyBorder="1" applyAlignment="1">
      <alignment vertical="center" wrapText="1"/>
    </xf>
    <xf numFmtId="0" fontId="10" fillId="12" borderId="0" xfId="0" applyFont="1" applyFill="1" applyAlignment="1">
      <alignment vertical="center" wrapText="1"/>
    </xf>
    <xf numFmtId="0" fontId="6" fillId="13" borderId="0" xfId="0" applyFont="1" applyFill="1" applyAlignment="1">
      <alignment vertical="center" wrapText="1"/>
    </xf>
    <xf numFmtId="2" fontId="5" fillId="17" borderId="1" xfId="0" applyNumberFormat="1" applyFont="1" applyFill="1" applyBorder="1" applyAlignment="1">
      <alignment horizontal="center" vertical="center"/>
    </xf>
    <xf numFmtId="2" fontId="21" fillId="3" borderId="1" xfId="0" applyNumberFormat="1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horizontal="center" vertical="center"/>
    </xf>
    <xf numFmtId="167" fontId="2" fillId="0" borderId="0" xfId="0" applyNumberFormat="1" applyFont="1"/>
    <xf numFmtId="164" fontId="2" fillId="6" borderId="2" xfId="1" applyNumberFormat="1" applyFont="1" applyFill="1" applyBorder="1" applyAlignment="1">
      <alignment horizontal="center" vertical="center"/>
    </xf>
    <xf numFmtId="49" fontId="24" fillId="18" borderId="1" xfId="0" applyNumberFormat="1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/>
    </xf>
    <xf numFmtId="0" fontId="25" fillId="0" borderId="1" xfId="0" applyFont="1" applyBorder="1"/>
    <xf numFmtId="4" fontId="24" fillId="19" borderId="1" xfId="0" applyNumberFormat="1" applyFont="1" applyFill="1" applyBorder="1" applyAlignment="1">
      <alignment horizontal="center" vertical="center" wrapText="1"/>
    </xf>
    <xf numFmtId="4" fontId="24" fillId="20" borderId="1" xfId="0" applyNumberFormat="1" applyFont="1" applyFill="1" applyBorder="1" applyAlignment="1">
      <alignment horizontal="center" vertical="center" wrapText="1"/>
    </xf>
    <xf numFmtId="4" fontId="25" fillId="0" borderId="1" xfId="0" applyNumberFormat="1" applyFont="1" applyBorder="1" applyAlignment="1">
      <alignment horizontal="center" vertical="center"/>
    </xf>
    <xf numFmtId="4" fontId="25" fillId="0" borderId="1" xfId="1" applyNumberFormat="1" applyFont="1" applyFill="1" applyBorder="1" applyAlignment="1">
      <alignment horizontal="center" vertical="center"/>
    </xf>
    <xf numFmtId="0" fontId="2" fillId="0" borderId="0" xfId="2" applyNumberFormat="1" applyFont="1" applyAlignment="1">
      <alignment horizontal="center"/>
    </xf>
    <xf numFmtId="4" fontId="4" fillId="5" borderId="1" xfId="0" applyNumberFormat="1" applyFont="1" applyFill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44" fontId="2" fillId="6" borderId="1" xfId="2" applyFont="1" applyFill="1" applyBorder="1"/>
    <xf numFmtId="44" fontId="20" fillId="6" borderId="1" xfId="2" applyFont="1" applyFill="1" applyBorder="1"/>
    <xf numFmtId="2" fontId="5" fillId="14" borderId="1" xfId="0" applyNumberFormat="1" applyFont="1" applyFill="1" applyBorder="1" applyAlignment="1">
      <alignment horizontal="center" vertical="center"/>
    </xf>
    <xf numFmtId="44" fontId="5" fillId="6" borderId="1" xfId="2" applyFont="1" applyFill="1" applyBorder="1" applyAlignment="1">
      <alignment horizontal="center" vertical="center"/>
    </xf>
    <xf numFmtId="44" fontId="5" fillId="0" borderId="1" xfId="2" applyFont="1" applyFill="1" applyBorder="1" applyAlignment="1">
      <alignment horizontal="center" vertical="center"/>
    </xf>
    <xf numFmtId="44" fontId="16" fillId="6" borderId="1" xfId="2" applyFont="1" applyFill="1" applyBorder="1"/>
    <xf numFmtId="44" fontId="2" fillId="21" borderId="1" xfId="2" applyFont="1" applyFill="1" applyBorder="1"/>
    <xf numFmtId="44" fontId="6" fillId="22" borderId="1" xfId="2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vertical="center"/>
    </xf>
    <xf numFmtId="3" fontId="26" fillId="6" borderId="1" xfId="0" applyNumberFormat="1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44" fontId="2" fillId="2" borderId="17" xfId="2" applyFont="1" applyFill="1" applyBorder="1" applyAlignment="1">
      <alignment horizontal="center"/>
    </xf>
    <xf numFmtId="44" fontId="2" fillId="2" borderId="6" xfId="2" applyFont="1" applyFill="1" applyBorder="1" applyAlignment="1">
      <alignment horizontal="center"/>
    </xf>
    <xf numFmtId="44" fontId="2" fillId="2" borderId="18" xfId="2" applyFont="1" applyFill="1" applyBorder="1" applyAlignment="1">
      <alignment horizontal="center"/>
    </xf>
    <xf numFmtId="44" fontId="3" fillId="21" borderId="17" xfId="2" applyFont="1" applyFill="1" applyBorder="1" applyAlignment="1">
      <alignment horizontal="center"/>
    </xf>
    <xf numFmtId="44" fontId="3" fillId="21" borderId="6" xfId="2" applyFont="1" applyFill="1" applyBorder="1" applyAlignment="1">
      <alignment horizontal="center"/>
    </xf>
    <xf numFmtId="44" fontId="3" fillId="21" borderId="15" xfId="2" applyFont="1" applyFill="1" applyBorder="1" applyAlignment="1">
      <alignment horizontal="center"/>
    </xf>
    <xf numFmtId="44" fontId="3" fillId="21" borderId="16" xfId="2" applyFont="1" applyFill="1" applyBorder="1" applyAlignment="1">
      <alignment horizontal="center"/>
    </xf>
    <xf numFmtId="2" fontId="5" fillId="23" borderId="1" xfId="0" applyNumberFormat="1" applyFont="1" applyFill="1" applyBorder="1" applyAlignment="1">
      <alignment horizontal="center" vertical="center"/>
    </xf>
    <xf numFmtId="44" fontId="3" fillId="21" borderId="21" xfId="2" applyFont="1" applyFill="1" applyBorder="1" applyAlignment="1">
      <alignment horizontal="center"/>
    </xf>
    <xf numFmtId="44" fontId="3" fillId="21" borderId="20" xfId="2" applyFont="1" applyFill="1" applyBorder="1" applyAlignment="1">
      <alignment horizontal="center"/>
    </xf>
    <xf numFmtId="44" fontId="2" fillId="2" borderId="20" xfId="2" applyFont="1" applyFill="1" applyBorder="1" applyAlignment="1">
      <alignment horizontal="center"/>
    </xf>
    <xf numFmtId="44" fontId="2" fillId="2" borderId="22" xfId="2" applyFont="1" applyFill="1" applyBorder="1" applyAlignment="1">
      <alignment horizontal="center"/>
    </xf>
    <xf numFmtId="9" fontId="3" fillId="21" borderId="23" xfId="3" applyFont="1" applyFill="1" applyBorder="1" applyAlignment="1">
      <alignment horizontal="center"/>
    </xf>
    <xf numFmtId="9" fontId="3" fillId="21" borderId="24" xfId="3" applyFont="1" applyFill="1" applyBorder="1" applyAlignment="1">
      <alignment horizontal="center"/>
    </xf>
    <xf numFmtId="44" fontId="2" fillId="2" borderId="24" xfId="2" applyFont="1" applyFill="1" applyBorder="1" applyAlignment="1">
      <alignment horizontal="center"/>
    </xf>
    <xf numFmtId="44" fontId="2" fillId="2" borderId="25" xfId="2" applyFont="1" applyFill="1" applyBorder="1" applyAlignment="1">
      <alignment horizontal="center"/>
    </xf>
    <xf numFmtId="0" fontId="9" fillId="7" borderId="0" xfId="0" applyFont="1" applyFill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4" fontId="3" fillId="6" borderId="1" xfId="1" applyNumberFormat="1" applyFont="1" applyFill="1" applyBorder="1" applyAlignment="1">
      <alignment horizontal="center" vertical="center"/>
    </xf>
    <xf numFmtId="164" fontId="3" fillId="6" borderId="2" xfId="1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/>
    </xf>
    <xf numFmtId="44" fontId="2" fillId="24" borderId="1" xfId="2" applyFont="1" applyFill="1" applyBorder="1"/>
    <xf numFmtId="44" fontId="2" fillId="14" borderId="1" xfId="2" applyFont="1" applyFill="1" applyBorder="1"/>
    <xf numFmtId="44" fontId="20" fillId="14" borderId="1" xfId="2" applyFont="1" applyFill="1" applyBorder="1"/>
    <xf numFmtId="44" fontId="3" fillId="14" borderId="1" xfId="2" applyFont="1" applyFill="1" applyBorder="1"/>
    <xf numFmtId="168" fontId="2" fillId="6" borderId="2" xfId="1" applyNumberFormat="1" applyFont="1" applyFill="1" applyBorder="1" applyAlignment="1">
      <alignment horizontal="center" vertical="center"/>
    </xf>
    <xf numFmtId="168" fontId="2" fillId="0" borderId="2" xfId="1" applyNumberFormat="1" applyFont="1" applyFill="1" applyBorder="1" applyAlignment="1">
      <alignment horizontal="center" vertical="center"/>
    </xf>
    <xf numFmtId="168" fontId="20" fillId="0" borderId="2" xfId="1" applyNumberFormat="1" applyFont="1" applyFill="1" applyBorder="1" applyAlignment="1">
      <alignment horizontal="center" vertical="center"/>
    </xf>
    <xf numFmtId="168" fontId="4" fillId="0" borderId="2" xfId="1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2" fontId="8" fillId="17" borderId="1" xfId="0" applyNumberFormat="1" applyFont="1" applyFill="1" applyBorder="1" applyAlignment="1">
      <alignment horizontal="center" vertical="center"/>
    </xf>
    <xf numFmtId="44" fontId="0" fillId="0" borderId="0" xfId="2" applyFont="1"/>
    <xf numFmtId="0" fontId="28" fillId="25" borderId="0" xfId="0" applyFont="1" applyFill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4" fontId="2" fillId="8" borderId="1" xfId="1" applyNumberFormat="1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164" fontId="3" fillId="8" borderId="1" xfId="1" applyNumberFormat="1" applyFont="1" applyFill="1" applyBorder="1" applyAlignment="1">
      <alignment horizontal="center" vertical="center"/>
    </xf>
    <xf numFmtId="44" fontId="4" fillId="2" borderId="1" xfId="2" applyFont="1" applyFill="1" applyBorder="1" applyAlignment="1">
      <alignment horizontal="center" vertical="center"/>
    </xf>
    <xf numFmtId="164" fontId="2" fillId="26" borderId="2" xfId="1" applyNumberFormat="1" applyFont="1" applyFill="1" applyBorder="1" applyAlignment="1">
      <alignment horizontal="center" vertical="center"/>
    </xf>
    <xf numFmtId="164" fontId="3" fillId="26" borderId="2" xfId="1" applyNumberFormat="1" applyFont="1" applyFill="1" applyBorder="1" applyAlignment="1">
      <alignment horizontal="center" vertical="center"/>
    </xf>
    <xf numFmtId="10" fontId="2" fillId="0" borderId="0" xfId="3" applyNumberFormat="1" applyFont="1"/>
    <xf numFmtId="166" fontId="8" fillId="17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44" fontId="3" fillId="27" borderId="6" xfId="2" applyFont="1" applyFill="1" applyBorder="1" applyAlignment="1">
      <alignment horizontal="center"/>
    </xf>
    <xf numFmtId="0" fontId="9" fillId="13" borderId="0" xfId="0" applyFont="1" applyFill="1" applyAlignment="1">
      <alignment horizontal="center" vertical="center" wrapText="1"/>
    </xf>
    <xf numFmtId="0" fontId="9" fillId="13" borderId="19" xfId="0" applyFont="1" applyFill="1" applyBorder="1" applyAlignment="1">
      <alignment horizontal="center" vertical="center" wrapText="1"/>
    </xf>
    <xf numFmtId="0" fontId="7" fillId="16" borderId="11" xfId="0" applyFont="1" applyFill="1" applyBorder="1" applyAlignment="1">
      <alignment horizontal="center"/>
    </xf>
    <xf numFmtId="0" fontId="7" fillId="16" borderId="14" xfId="0" applyFont="1" applyFill="1" applyBorder="1" applyAlignment="1">
      <alignment horizontal="center"/>
    </xf>
    <xf numFmtId="0" fontId="7" fillId="16" borderId="1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43" fontId="18" fillId="13" borderId="10" xfId="0" applyNumberFormat="1" applyFont="1" applyFill="1" applyBorder="1" applyAlignment="1">
      <alignment horizontal="center" vertical="center"/>
    </xf>
    <xf numFmtId="43" fontId="18" fillId="13" borderId="19" xfId="0" applyNumberFormat="1" applyFont="1" applyFill="1" applyBorder="1" applyAlignment="1">
      <alignment horizontal="center" vertical="center"/>
    </xf>
  </cellXfs>
  <cellStyles count="10">
    <cellStyle name="Moeda" xfId="2" builtinId="4"/>
    <cellStyle name="Moeda 2" xfId="6" xr:uid="{C0EE03AC-A0DE-4AD3-A85D-1BC1C4FF7D72}"/>
    <cellStyle name="Moeda 3" xfId="9" xr:uid="{9F69479E-9177-4AD3-B0AA-811D1DEA92EB}"/>
    <cellStyle name="Normal" xfId="0" builtinId="0"/>
    <cellStyle name="Porcentagem" xfId="3" builtinId="5"/>
    <cellStyle name="Vírgula" xfId="1" builtinId="3"/>
    <cellStyle name="Vírgula 2" xfId="4" xr:uid="{D8FC8CC0-878A-4F05-A792-9EF48AFFE76B}"/>
    <cellStyle name="Vírgula 2 2" xfId="7" xr:uid="{5B28862B-28D6-4470-97C5-EBEDD3995D9F}"/>
    <cellStyle name="Vírgula 3" xfId="5" xr:uid="{7D6C0BB0-88AD-4843-98F0-7C199A088787}"/>
    <cellStyle name="Vírgula 4" xfId="8" xr:uid="{17CE94A5-C691-4174-9E05-88139AA2B2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18108</xdr:colOff>
      <xdr:row>0</xdr:row>
      <xdr:rowOff>20934</xdr:rowOff>
    </xdr:from>
    <xdr:to>
      <xdr:col>7</xdr:col>
      <xdr:colOff>82899</xdr:colOff>
      <xdr:row>2</xdr:row>
      <xdr:rowOff>103628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3DE70C0-1CFC-4642-A281-264D262AE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064" y="20934"/>
          <a:ext cx="619544" cy="4176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18108</xdr:colOff>
      <xdr:row>0</xdr:row>
      <xdr:rowOff>20934</xdr:rowOff>
    </xdr:from>
    <xdr:to>
      <xdr:col>7</xdr:col>
      <xdr:colOff>82899</xdr:colOff>
      <xdr:row>2</xdr:row>
      <xdr:rowOff>103628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151C7E-0F3C-4359-8E5B-9219385F4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808" y="20934"/>
          <a:ext cx="617241" cy="4160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18108</xdr:colOff>
      <xdr:row>0</xdr:row>
      <xdr:rowOff>20934</xdr:rowOff>
    </xdr:from>
    <xdr:to>
      <xdr:col>7</xdr:col>
      <xdr:colOff>82899</xdr:colOff>
      <xdr:row>2</xdr:row>
      <xdr:rowOff>103628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6A4E85-6675-44D2-8601-350316E49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808" y="20934"/>
          <a:ext cx="617241" cy="4160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18108</xdr:colOff>
      <xdr:row>0</xdr:row>
      <xdr:rowOff>20934</xdr:rowOff>
    </xdr:from>
    <xdr:to>
      <xdr:col>7</xdr:col>
      <xdr:colOff>82899</xdr:colOff>
      <xdr:row>2</xdr:row>
      <xdr:rowOff>103628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162F82-2610-4E1E-B2A9-CE609B71B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808" y="20934"/>
          <a:ext cx="617241" cy="4160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18108</xdr:colOff>
      <xdr:row>0</xdr:row>
      <xdr:rowOff>20934</xdr:rowOff>
    </xdr:from>
    <xdr:to>
      <xdr:col>7</xdr:col>
      <xdr:colOff>82899</xdr:colOff>
      <xdr:row>2</xdr:row>
      <xdr:rowOff>103628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DBF338-5265-4717-9415-0D99A013E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808" y="20934"/>
          <a:ext cx="617241" cy="4160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iway-my.sharepoint.com/personal/rochas04_heiway_net/Documents/BKP/AA%20-%20Propostas(%20FNP)%20&amp;%20Fechamentos/07%20Julho'25/Cliente%20Tenda/Simulador%20Tenda-Julho'25.xlsx" TargetMode="External"/><Relationship Id="rId1" Type="http://schemas.openxmlformats.org/officeDocument/2006/relationships/externalLinkPath" Target="/personal/rochas04_heiway_net/Documents/BKP/AA%20-%20Propostas(%20FNP)%20&amp;%20Fechamentos/07%20Julho'25/Cliente%20Tenda/Simulador%20Tenda-Julho'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chas04\Downloads\Abertura%20Meta%20Volume%20OFF%20-%20Jan'25.xlsx" TargetMode="External"/><Relationship Id="rId1" Type="http://schemas.openxmlformats.org/officeDocument/2006/relationships/externalLinkPath" Target="file:///C:\Users\rochas04\Downloads\Abertura%20Meta%20Volume%20OFF%20-%20Jan'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ódigos"/>
      <sheetName val="Proposta HNK para Tenda"/>
      <sheetName val="Fechamento Julho Tenda"/>
      <sheetName val="Fechamento Julho Tenda (2)"/>
      <sheetName val="Planilha1"/>
      <sheetName val="Fábricas de Origem"/>
      <sheetName val="Régua de preço"/>
    </sheetNames>
    <sheetDataSet>
      <sheetData sheetId="0"/>
      <sheetData sheetId="1">
        <row r="1">
          <cell r="P1"/>
          <cell r="Q1"/>
          <cell r="R1"/>
          <cell r="S1"/>
          <cell r="T1"/>
          <cell r="U1"/>
        </row>
        <row r="2">
          <cell r="P2"/>
          <cell r="Q2"/>
          <cell r="R2"/>
          <cell r="S2"/>
          <cell r="T2"/>
          <cell r="U2"/>
        </row>
        <row r="3">
          <cell r="H3"/>
          <cell r="J3"/>
          <cell r="L3">
            <v>347782</v>
          </cell>
          <cell r="N3">
            <v>50.255494505494525</v>
          </cell>
          <cell r="O3"/>
          <cell r="Q3"/>
          <cell r="S3"/>
          <cell r="T3" t="str">
            <v>RÉGUA DE PREÇO JULHO'25</v>
          </cell>
          <cell r="U3"/>
        </row>
        <row r="4">
          <cell r="F4" t="str">
            <v>CÓDIGO HNK</v>
          </cell>
          <cell r="G4" t="str">
            <v>CÓDIGO TENDA</v>
          </cell>
          <cell r="H4" t="str">
            <v>PRODUTO</v>
          </cell>
          <cell r="I4" t="str">
            <v>CX</v>
          </cell>
          <cell r="J4" t="str">
            <v>PALETE</v>
          </cell>
          <cell r="K4" t="str">
            <v>CARGA</v>
          </cell>
          <cell r="L4" t="str">
            <v xml:space="preserve">QTDE COMPRA </v>
          </cell>
          <cell r="M4" t="str">
            <v>QTDE PALETE</v>
          </cell>
          <cell r="N4" t="str">
            <v>QTDE CARRO</v>
          </cell>
          <cell r="O4" t="str">
            <v>CUSTO CX NF</v>
          </cell>
          <cell r="P4" t="str">
            <v>VERBA    SELL IN CX</v>
          </cell>
          <cell r="Q4" t="str">
            <v>* VERBA SELL IN UND</v>
          </cell>
          <cell r="R4" t="str">
            <v>VERBA ADIC CX</v>
          </cell>
          <cell r="S4" t="str">
            <v>* VERBA ADIC UND</v>
          </cell>
          <cell r="T4" t="str">
            <v>PREÇO REGULAR</v>
          </cell>
          <cell r="U4" t="str">
            <v>PREÇO PROMO</v>
          </cell>
        </row>
        <row r="5">
          <cell r="F5">
            <v>902832</v>
          </cell>
          <cell r="G5">
            <v>966861</v>
          </cell>
          <cell r="H5" t="str">
            <v xml:space="preserve">CERVEJA BADEN IPA 600ML </v>
          </cell>
          <cell r="I5">
            <v>12</v>
          </cell>
          <cell r="J5">
            <v>60</v>
          </cell>
          <cell r="K5">
            <v>1560</v>
          </cell>
          <cell r="L5">
            <v>60</v>
          </cell>
          <cell r="M5">
            <v>1</v>
          </cell>
          <cell r="N5">
            <v>3.8461538461538464E-2</v>
          </cell>
          <cell r="O5">
            <v>134.52000000000001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14.19</v>
          </cell>
          <cell r="U5">
            <v>14.19</v>
          </cell>
        </row>
        <row r="6">
          <cell r="F6">
            <v>900118</v>
          </cell>
          <cell r="G6">
            <v>980337</v>
          </cell>
          <cell r="H6" t="str">
            <v xml:space="preserve">CERVEJA BADEN GOLDEN 600ML </v>
          </cell>
          <cell r="I6">
            <v>12</v>
          </cell>
          <cell r="J6">
            <v>60</v>
          </cell>
          <cell r="K6">
            <v>1560</v>
          </cell>
          <cell r="L6">
            <v>60</v>
          </cell>
          <cell r="M6">
            <v>1</v>
          </cell>
          <cell r="N6">
            <v>3.8461538461538464E-2</v>
          </cell>
          <cell r="O6">
            <v>134.52000000000001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14.19</v>
          </cell>
          <cell r="U6">
            <v>14.19</v>
          </cell>
        </row>
        <row r="7">
          <cell r="F7">
            <v>904742</v>
          </cell>
          <cell r="G7">
            <v>936459</v>
          </cell>
          <cell r="H7" t="str">
            <v xml:space="preserve">CERVEJA BADEN PEACH 600ML </v>
          </cell>
          <cell r="I7">
            <v>12</v>
          </cell>
          <cell r="J7">
            <v>60</v>
          </cell>
          <cell r="K7">
            <v>1560</v>
          </cell>
          <cell r="L7">
            <v>60</v>
          </cell>
          <cell r="M7">
            <v>1</v>
          </cell>
          <cell r="N7">
            <v>3.8461538461538464E-2</v>
          </cell>
          <cell r="O7">
            <v>134.52000000000001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14.19</v>
          </cell>
          <cell r="U7">
            <v>14.19</v>
          </cell>
        </row>
        <row r="8">
          <cell r="F8">
            <v>900109</v>
          </cell>
          <cell r="G8">
            <v>980335</v>
          </cell>
          <cell r="H8" t="str">
            <v xml:space="preserve">CERVEJA BADEN CRISTAL 600ML </v>
          </cell>
          <cell r="I8">
            <v>12</v>
          </cell>
          <cell r="J8">
            <v>60</v>
          </cell>
          <cell r="K8">
            <v>1560</v>
          </cell>
          <cell r="L8">
            <v>60</v>
          </cell>
          <cell r="M8">
            <v>1</v>
          </cell>
          <cell r="N8">
            <v>3.8461538461538464E-2</v>
          </cell>
          <cell r="O8">
            <v>134.52000000000001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14.19</v>
          </cell>
          <cell r="U8">
            <v>14.19</v>
          </cell>
        </row>
        <row r="9">
          <cell r="F9">
            <v>901162</v>
          </cell>
          <cell r="G9">
            <v>950839</v>
          </cell>
          <cell r="H9" t="str">
            <v xml:space="preserve">CERVEJA BADEN WITIBIER 600ML </v>
          </cell>
          <cell r="I9">
            <v>12</v>
          </cell>
          <cell r="J9">
            <v>60</v>
          </cell>
          <cell r="K9">
            <v>1560</v>
          </cell>
          <cell r="L9">
            <v>60</v>
          </cell>
          <cell r="M9">
            <v>1</v>
          </cell>
          <cell r="N9">
            <v>3.8461538461538464E-2</v>
          </cell>
          <cell r="O9">
            <v>134.52000000000001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14.19</v>
          </cell>
          <cell r="U9">
            <v>14.19</v>
          </cell>
        </row>
        <row r="10">
          <cell r="F10">
            <v>904451</v>
          </cell>
          <cell r="G10">
            <v>996077</v>
          </cell>
          <cell r="H10" t="str">
            <v>CERVEJA BADEN IPA LA 350ML</v>
          </cell>
          <cell r="I10">
            <v>12</v>
          </cell>
          <cell r="J10">
            <v>280</v>
          </cell>
          <cell r="K10">
            <v>7280</v>
          </cell>
          <cell r="L10">
            <v>180</v>
          </cell>
          <cell r="M10">
            <v>0.6428571428571429</v>
          </cell>
          <cell r="N10">
            <v>2.4725274725274728E-2</v>
          </cell>
          <cell r="O10">
            <v>57.73</v>
          </cell>
          <cell r="P10">
            <v>2.52</v>
          </cell>
          <cell r="Q10">
            <v>0.21</v>
          </cell>
          <cell r="R10">
            <v>2.4000000000000004</v>
          </cell>
          <cell r="S10">
            <v>0.2</v>
          </cell>
          <cell r="T10">
            <v>6.09</v>
          </cell>
          <cell r="U10">
            <v>5.3900000000000006</v>
          </cell>
        </row>
        <row r="11">
          <cell r="F11">
            <v>900118</v>
          </cell>
          <cell r="G11" t="e">
            <v>#N/A</v>
          </cell>
          <cell r="H11" t="str">
            <v>CERVEJA BADEN GOLDEN LA 350ML</v>
          </cell>
          <cell r="I11">
            <v>12</v>
          </cell>
          <cell r="J11">
            <v>280</v>
          </cell>
          <cell r="K11">
            <v>7280</v>
          </cell>
          <cell r="L11">
            <v>280</v>
          </cell>
          <cell r="M11">
            <v>1</v>
          </cell>
          <cell r="N11">
            <v>3.8461538461538464E-2</v>
          </cell>
          <cell r="O11">
            <v>134.52000000000001</v>
          </cell>
          <cell r="P11">
            <v>2.52</v>
          </cell>
          <cell r="Q11">
            <v>0.21</v>
          </cell>
          <cell r="R11">
            <v>2.4000000000000004</v>
          </cell>
          <cell r="S11">
            <v>0.2</v>
          </cell>
          <cell r="T11">
            <v>14.19</v>
          </cell>
          <cell r="U11">
            <v>14.19</v>
          </cell>
        </row>
        <row r="12">
          <cell r="F12">
            <v>904743</v>
          </cell>
          <cell r="G12">
            <v>936460</v>
          </cell>
          <cell r="H12" t="str">
            <v>CERVEJA BADEN PEACH LA 350ML</v>
          </cell>
          <cell r="I12">
            <v>12</v>
          </cell>
          <cell r="J12">
            <v>280</v>
          </cell>
          <cell r="K12">
            <v>7280</v>
          </cell>
          <cell r="L12">
            <v>280</v>
          </cell>
          <cell r="M12">
            <v>1</v>
          </cell>
          <cell r="N12">
            <v>3.8461538461538464E-2</v>
          </cell>
          <cell r="O12">
            <v>57.73</v>
          </cell>
          <cell r="P12">
            <v>2.52</v>
          </cell>
          <cell r="Q12">
            <v>0.21</v>
          </cell>
          <cell r="R12">
            <v>2.4000000000000004</v>
          </cell>
          <cell r="S12">
            <v>0.2</v>
          </cell>
          <cell r="T12">
            <v>6.09</v>
          </cell>
          <cell r="U12">
            <v>5.3900000000000006</v>
          </cell>
        </row>
        <row r="13">
          <cell r="F13">
            <v>904441</v>
          </cell>
          <cell r="G13">
            <v>996076</v>
          </cell>
          <cell r="H13" t="str">
            <v>CERVEJA BADEN CRISTAL LA 350ML</v>
          </cell>
          <cell r="I13">
            <v>12</v>
          </cell>
          <cell r="J13">
            <v>280</v>
          </cell>
          <cell r="K13">
            <v>7280</v>
          </cell>
          <cell r="L13">
            <v>280</v>
          </cell>
          <cell r="M13">
            <v>1</v>
          </cell>
          <cell r="N13">
            <v>3.8461538461538464E-2</v>
          </cell>
          <cell r="O13">
            <v>57.73</v>
          </cell>
          <cell r="P13">
            <v>2.52</v>
          </cell>
          <cell r="Q13">
            <v>0.21</v>
          </cell>
          <cell r="R13">
            <v>2.4000000000000004</v>
          </cell>
          <cell r="S13">
            <v>0.2</v>
          </cell>
          <cell r="T13">
            <v>6.09</v>
          </cell>
          <cell r="U13">
            <v>5.3900000000000006</v>
          </cell>
        </row>
        <row r="14">
          <cell r="F14">
            <v>904193</v>
          </cell>
          <cell r="G14">
            <v>996037</v>
          </cell>
          <cell r="H14" t="str">
            <v xml:space="preserve">CERVEJA BADEN WITBIER LA 350ML </v>
          </cell>
          <cell r="I14">
            <v>12</v>
          </cell>
          <cell r="J14">
            <v>280</v>
          </cell>
          <cell r="K14">
            <v>7280</v>
          </cell>
          <cell r="L14">
            <v>280</v>
          </cell>
          <cell r="M14">
            <v>1</v>
          </cell>
          <cell r="N14">
            <v>3.8461538461538464E-2</v>
          </cell>
          <cell r="O14">
            <v>57.73</v>
          </cell>
          <cell r="P14">
            <v>2.52</v>
          </cell>
          <cell r="Q14">
            <v>0.21</v>
          </cell>
          <cell r="R14">
            <v>2.4000000000000004</v>
          </cell>
          <cell r="S14">
            <v>0.2</v>
          </cell>
          <cell r="T14">
            <v>6.09</v>
          </cell>
          <cell r="U14">
            <v>5.3900000000000006</v>
          </cell>
        </row>
        <row r="15">
          <cell r="F15">
            <v>904612</v>
          </cell>
          <cell r="G15">
            <v>936521</v>
          </cell>
          <cell r="H15" t="str">
            <v xml:space="preserve">CERVEJA BLUE MOON LA 350ML </v>
          </cell>
          <cell r="I15">
            <v>12</v>
          </cell>
          <cell r="J15">
            <v>280</v>
          </cell>
          <cell r="K15">
            <v>7280</v>
          </cell>
          <cell r="L15">
            <v>280</v>
          </cell>
          <cell r="M15">
            <v>1</v>
          </cell>
          <cell r="N15">
            <v>3.8461538461538464E-2</v>
          </cell>
          <cell r="O15">
            <v>85.23</v>
          </cell>
          <cell r="P15">
            <v>7.8000000000000007</v>
          </cell>
          <cell r="Q15">
            <v>0.65</v>
          </cell>
          <cell r="R15">
            <v>4.8000000000000007</v>
          </cell>
          <cell r="S15">
            <v>0.4</v>
          </cell>
          <cell r="T15">
            <v>8.99</v>
          </cell>
          <cell r="U15">
            <v>6.99</v>
          </cell>
        </row>
        <row r="16">
          <cell r="F16">
            <v>904602</v>
          </cell>
          <cell r="G16">
            <v>936889</v>
          </cell>
          <cell r="H16" t="str">
            <v xml:space="preserve">CERVEJA BLUE MOON LN 355ML </v>
          </cell>
          <cell r="I16">
            <v>24</v>
          </cell>
          <cell r="J16">
            <v>56</v>
          </cell>
          <cell r="K16">
            <v>1456</v>
          </cell>
          <cell r="L16">
            <v>56</v>
          </cell>
          <cell r="M16">
            <v>1</v>
          </cell>
          <cell r="N16">
            <v>3.8461538461538464E-2</v>
          </cell>
          <cell r="O16">
            <v>208.37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10.99</v>
          </cell>
          <cell r="U16">
            <v>10.99</v>
          </cell>
        </row>
        <row r="17">
          <cell r="F17">
            <v>904782</v>
          </cell>
          <cell r="G17">
            <v>936457</v>
          </cell>
          <cell r="H17" t="str">
            <v>CERVEJA LAGUNITAS LA 350ML IPA</v>
          </cell>
          <cell r="I17">
            <v>12</v>
          </cell>
          <cell r="J17">
            <v>280</v>
          </cell>
          <cell r="K17">
            <v>7280</v>
          </cell>
          <cell r="L17">
            <v>280</v>
          </cell>
          <cell r="M17">
            <v>1</v>
          </cell>
          <cell r="N17">
            <v>3.8461538461538464E-2</v>
          </cell>
          <cell r="O17">
            <v>85.23</v>
          </cell>
          <cell r="P17">
            <v>7.8000000000000007</v>
          </cell>
          <cell r="Q17">
            <v>0.65</v>
          </cell>
          <cell r="R17">
            <v>4.8000000000000007</v>
          </cell>
          <cell r="S17">
            <v>0.4</v>
          </cell>
          <cell r="T17">
            <v>8.99</v>
          </cell>
          <cell r="U17">
            <v>6.99</v>
          </cell>
        </row>
        <row r="18">
          <cell r="F18">
            <v>903901</v>
          </cell>
          <cell r="G18">
            <v>936458</v>
          </cell>
          <cell r="H18" t="str">
            <v xml:space="preserve">CERVEJA LAGUNITAS LN 355ML </v>
          </cell>
          <cell r="I18">
            <v>12</v>
          </cell>
          <cell r="J18">
            <v>126</v>
          </cell>
          <cell r="K18">
            <v>3276</v>
          </cell>
          <cell r="L18">
            <v>126</v>
          </cell>
          <cell r="M18">
            <v>1</v>
          </cell>
          <cell r="N18">
            <v>3.8461538461538464E-2</v>
          </cell>
          <cell r="O18">
            <v>104.19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10.99</v>
          </cell>
          <cell r="U18">
            <v>10.99</v>
          </cell>
        </row>
        <row r="19">
          <cell r="F19">
            <v>904113</v>
          </cell>
          <cell r="G19">
            <v>952540</v>
          </cell>
          <cell r="H19" t="str">
            <v xml:space="preserve">CERVEJA AMSTEL 269ML </v>
          </cell>
          <cell r="I19">
            <v>12</v>
          </cell>
          <cell r="J19">
            <v>336</v>
          </cell>
          <cell r="K19">
            <v>8736</v>
          </cell>
          <cell r="L19">
            <v>43680</v>
          </cell>
          <cell r="M19">
            <v>130</v>
          </cell>
          <cell r="N19">
            <v>5</v>
          </cell>
          <cell r="O19">
            <v>34.74</v>
          </cell>
          <cell r="P19">
            <v>1.44</v>
          </cell>
          <cell r="Q19">
            <v>0.12</v>
          </cell>
          <cell r="R19">
            <v>0</v>
          </cell>
          <cell r="S19">
            <v>0</v>
          </cell>
          <cell r="T19">
            <v>3.2900000000000005</v>
          </cell>
          <cell r="U19">
            <v>3.0900000000000003</v>
          </cell>
        </row>
        <row r="20">
          <cell r="F20">
            <v>904952</v>
          </cell>
          <cell r="G20">
            <v>950525</v>
          </cell>
          <cell r="H20" t="str">
            <v>CERVEJA AMSTEL 350ML SLEEK</v>
          </cell>
          <cell r="I20">
            <v>12</v>
          </cell>
          <cell r="J20">
            <v>280</v>
          </cell>
          <cell r="K20">
            <v>7280</v>
          </cell>
          <cell r="L20">
            <v>36400</v>
          </cell>
          <cell r="M20">
            <v>130</v>
          </cell>
          <cell r="N20">
            <v>5</v>
          </cell>
          <cell r="O20">
            <v>41.08</v>
          </cell>
          <cell r="P20">
            <v>1.44</v>
          </cell>
          <cell r="Q20">
            <v>0.12</v>
          </cell>
          <cell r="R20">
            <v>0.24</v>
          </cell>
          <cell r="S20">
            <v>0.02</v>
          </cell>
          <cell r="T20">
            <v>3.89</v>
          </cell>
          <cell r="U20">
            <v>3.6900000000000004</v>
          </cell>
        </row>
        <row r="21">
          <cell r="F21">
            <v>905052</v>
          </cell>
          <cell r="G21">
            <v>941729</v>
          </cell>
          <cell r="H21" t="str">
            <v xml:space="preserve">CERVEJA AMSTEL LN 355ML </v>
          </cell>
          <cell r="I21">
            <v>12</v>
          </cell>
          <cell r="J21">
            <v>175</v>
          </cell>
          <cell r="K21">
            <v>4550</v>
          </cell>
          <cell r="L21">
            <v>175</v>
          </cell>
          <cell r="M21">
            <v>1</v>
          </cell>
          <cell r="N21">
            <v>3.8461538461538464E-2</v>
          </cell>
          <cell r="O21">
            <v>49.53</v>
          </cell>
          <cell r="P21">
            <v>1.7999999999999998</v>
          </cell>
          <cell r="Q21">
            <v>0.15</v>
          </cell>
          <cell r="R21">
            <v>1.56</v>
          </cell>
          <cell r="S21">
            <v>0.13</v>
          </cell>
          <cell r="T21">
            <v>4.6900000000000004</v>
          </cell>
          <cell r="U21">
            <v>4.49</v>
          </cell>
        </row>
        <row r="22">
          <cell r="F22">
            <v>904632</v>
          </cell>
          <cell r="G22">
            <v>936782</v>
          </cell>
          <cell r="H22" t="str">
            <v xml:space="preserve">CERVEJA AMSTEL ULTRA LATA 269 ML </v>
          </cell>
          <cell r="I22">
            <v>12</v>
          </cell>
          <cell r="J22">
            <v>364</v>
          </cell>
          <cell r="K22">
            <v>9464</v>
          </cell>
          <cell r="L22">
            <v>1092</v>
          </cell>
          <cell r="M22">
            <v>3</v>
          </cell>
          <cell r="N22">
            <v>0.11538461538461539</v>
          </cell>
          <cell r="O22">
            <v>39.26</v>
          </cell>
          <cell r="P22">
            <v>2.04</v>
          </cell>
          <cell r="Q22">
            <v>0.17</v>
          </cell>
          <cell r="R22">
            <v>0</v>
          </cell>
          <cell r="S22">
            <v>0</v>
          </cell>
          <cell r="T22">
            <v>3.99</v>
          </cell>
          <cell r="U22">
            <v>3.49</v>
          </cell>
        </row>
        <row r="23">
          <cell r="F23">
            <v>904631</v>
          </cell>
          <cell r="G23">
            <v>936456</v>
          </cell>
          <cell r="H23" t="str">
            <v xml:space="preserve">CERVEJA AMSTEL ULTRA LN 275 ML </v>
          </cell>
          <cell r="I23">
            <v>12</v>
          </cell>
          <cell r="J23">
            <v>196</v>
          </cell>
          <cell r="K23">
            <v>5096</v>
          </cell>
          <cell r="L23">
            <v>980</v>
          </cell>
          <cell r="M23">
            <v>5</v>
          </cell>
          <cell r="N23">
            <v>0.19230769230769232</v>
          </cell>
          <cell r="O23">
            <v>47.13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4.7900000000000009</v>
          </cell>
          <cell r="U23">
            <v>4.7900000000000009</v>
          </cell>
        </row>
        <row r="24">
          <cell r="F24">
            <v>904895</v>
          </cell>
          <cell r="G24">
            <v>939303</v>
          </cell>
          <cell r="H24" t="str">
            <v>CERVEJA HEINEKEN 0% ALCOOL LA 269ML</v>
          </cell>
          <cell r="I24">
            <v>8</v>
          </cell>
          <cell r="J24">
            <v>520</v>
          </cell>
          <cell r="K24">
            <v>13520</v>
          </cell>
          <cell r="L24">
            <v>7800</v>
          </cell>
          <cell r="M24">
            <v>15</v>
          </cell>
          <cell r="N24">
            <v>0.57692307692307687</v>
          </cell>
          <cell r="O24">
            <v>31.21</v>
          </cell>
          <cell r="P24">
            <v>0.8</v>
          </cell>
          <cell r="Q24">
            <v>0.1</v>
          </cell>
          <cell r="R24">
            <v>0.64</v>
          </cell>
          <cell r="S24">
            <v>0.08</v>
          </cell>
          <cell r="T24">
            <v>4.59</v>
          </cell>
          <cell r="U24">
            <v>3.99</v>
          </cell>
        </row>
        <row r="25">
          <cell r="F25">
            <v>904961</v>
          </cell>
          <cell r="G25">
            <v>977092</v>
          </cell>
          <cell r="H25" t="str">
            <v>CERVEJA HEINEKEN 0% ALCOOL LA 350ML SLEEK</v>
          </cell>
          <cell r="I25">
            <v>12</v>
          </cell>
          <cell r="J25">
            <v>280</v>
          </cell>
          <cell r="K25">
            <v>7280</v>
          </cell>
          <cell r="L25">
            <v>2240</v>
          </cell>
          <cell r="M25">
            <v>8</v>
          </cell>
          <cell r="N25">
            <v>0.30769230769230771</v>
          </cell>
          <cell r="O25">
            <v>58.04</v>
          </cell>
          <cell r="P25">
            <v>1.56</v>
          </cell>
          <cell r="Q25">
            <v>0.13</v>
          </cell>
          <cell r="R25">
            <v>0</v>
          </cell>
          <cell r="S25">
            <v>0</v>
          </cell>
          <cell r="T25">
            <v>5.69</v>
          </cell>
          <cell r="U25">
            <v>5.2900000000000009</v>
          </cell>
        </row>
        <row r="26">
          <cell r="F26">
            <v>903996</v>
          </cell>
          <cell r="G26">
            <v>954655</v>
          </cell>
          <cell r="H26" t="str">
            <v xml:space="preserve">CERVEJA HEINEKEN 0% ALCOOL LN 330ML </v>
          </cell>
          <cell r="I26">
            <v>24</v>
          </cell>
          <cell r="J26">
            <v>91</v>
          </cell>
          <cell r="K26">
            <v>2366</v>
          </cell>
          <cell r="L26">
            <v>910</v>
          </cell>
          <cell r="M26">
            <v>10</v>
          </cell>
          <cell r="N26">
            <v>0.38461538461538464</v>
          </cell>
          <cell r="O26">
            <v>142.6</v>
          </cell>
          <cell r="P26">
            <v>0</v>
          </cell>
          <cell r="Q26">
            <v>0</v>
          </cell>
          <cell r="R26">
            <v>3.5999999999999996</v>
          </cell>
          <cell r="S26">
            <v>0.15</v>
          </cell>
          <cell r="T26">
            <v>6.99</v>
          </cell>
          <cell r="U26">
            <v>6.5900000000000007</v>
          </cell>
        </row>
        <row r="27">
          <cell r="F27">
            <v>904721</v>
          </cell>
          <cell r="G27">
            <v>936641</v>
          </cell>
          <cell r="H27" t="str">
            <v>CERVEJA HEINEKEN 269ML</v>
          </cell>
          <cell r="I27">
            <v>8</v>
          </cell>
          <cell r="J27">
            <v>520</v>
          </cell>
          <cell r="K27">
            <v>13520</v>
          </cell>
          <cell r="L27">
            <v>67600</v>
          </cell>
          <cell r="M27">
            <v>130</v>
          </cell>
          <cell r="N27">
            <v>5</v>
          </cell>
          <cell r="O27">
            <v>31.21</v>
          </cell>
          <cell r="P27">
            <v>0.8</v>
          </cell>
          <cell r="Q27">
            <v>0.1</v>
          </cell>
          <cell r="R27">
            <v>0.64</v>
          </cell>
          <cell r="S27">
            <v>0.08</v>
          </cell>
          <cell r="T27">
            <v>4.59</v>
          </cell>
          <cell r="U27">
            <v>3.99</v>
          </cell>
        </row>
        <row r="28">
          <cell r="F28">
            <v>904932</v>
          </cell>
          <cell r="G28">
            <v>91626</v>
          </cell>
          <cell r="H28" t="str">
            <v>CERVEJA HEINEKEN 350ML SLEEK</v>
          </cell>
          <cell r="I28">
            <v>12</v>
          </cell>
          <cell r="J28">
            <v>280</v>
          </cell>
          <cell r="K28">
            <v>7280</v>
          </cell>
          <cell r="L28">
            <v>72800</v>
          </cell>
          <cell r="M28">
            <v>260</v>
          </cell>
          <cell r="N28">
            <v>10</v>
          </cell>
          <cell r="O28">
            <v>58.04</v>
          </cell>
          <cell r="P28">
            <v>1.56</v>
          </cell>
          <cell r="Q28">
            <v>0.13</v>
          </cell>
          <cell r="R28">
            <v>0</v>
          </cell>
          <cell r="S28">
            <v>0</v>
          </cell>
          <cell r="T28">
            <v>5.69</v>
          </cell>
          <cell r="U28">
            <v>5.2900000000000009</v>
          </cell>
        </row>
        <row r="29">
          <cell r="F29">
            <v>905291</v>
          </cell>
          <cell r="G29">
            <v>999998</v>
          </cell>
          <cell r="H29" t="str">
            <v xml:space="preserve">CERVEJA HEINEKEN LN 250ML </v>
          </cell>
          <cell r="I29">
            <v>24</v>
          </cell>
          <cell r="J29">
            <v>104</v>
          </cell>
          <cell r="K29">
            <v>2704</v>
          </cell>
          <cell r="L29">
            <v>8112</v>
          </cell>
          <cell r="M29">
            <v>78</v>
          </cell>
          <cell r="N29">
            <v>3</v>
          </cell>
          <cell r="O29">
            <v>107.92</v>
          </cell>
          <cell r="P29">
            <v>1.44</v>
          </cell>
          <cell r="Q29">
            <v>0.06</v>
          </cell>
          <cell r="R29">
            <v>0</v>
          </cell>
          <cell r="S29">
            <v>0</v>
          </cell>
          <cell r="T29">
            <v>5.29</v>
          </cell>
          <cell r="U29">
            <v>4.99</v>
          </cell>
        </row>
        <row r="30">
          <cell r="F30">
            <v>903478</v>
          </cell>
          <cell r="G30">
            <v>951691</v>
          </cell>
          <cell r="H30" t="str">
            <v xml:space="preserve">CERVEJA HEINEKEN LN 330 ML </v>
          </cell>
          <cell r="I30">
            <v>24</v>
          </cell>
          <cell r="J30">
            <v>91</v>
          </cell>
          <cell r="K30">
            <v>2366</v>
          </cell>
          <cell r="L30">
            <v>23660</v>
          </cell>
          <cell r="M30">
            <v>260</v>
          </cell>
          <cell r="N30">
            <v>10</v>
          </cell>
          <cell r="O30">
            <v>142.6</v>
          </cell>
          <cell r="P30">
            <v>0</v>
          </cell>
          <cell r="Q30">
            <v>0</v>
          </cell>
          <cell r="R30">
            <v>3.5999999999999996</v>
          </cell>
          <cell r="S30">
            <v>0.15</v>
          </cell>
          <cell r="T30">
            <v>6.99</v>
          </cell>
          <cell r="U30">
            <v>6.5900000000000007</v>
          </cell>
        </row>
        <row r="31">
          <cell r="F31">
            <v>903480</v>
          </cell>
          <cell r="G31">
            <v>998056</v>
          </cell>
          <cell r="H31" t="str">
            <v xml:space="preserve">CERVEJA HEINEKEN ONE WAY 600ML </v>
          </cell>
          <cell r="I31">
            <v>12</v>
          </cell>
          <cell r="J31">
            <v>96</v>
          </cell>
          <cell r="K31">
            <v>2496</v>
          </cell>
          <cell r="L31">
            <v>960</v>
          </cell>
          <cell r="M31">
            <v>10</v>
          </cell>
          <cell r="N31">
            <v>0.38461538461538464</v>
          </cell>
          <cell r="O31">
            <v>137.6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13.49</v>
          </cell>
          <cell r="U31">
            <v>13.49</v>
          </cell>
        </row>
        <row r="32">
          <cell r="F32">
            <v>903483</v>
          </cell>
          <cell r="G32">
            <v>986607</v>
          </cell>
          <cell r="H32" t="str">
            <v xml:space="preserve">CHOPP HEINEKEN 5LT </v>
          </cell>
          <cell r="I32">
            <v>2</v>
          </cell>
          <cell r="J32">
            <v>90</v>
          </cell>
          <cell r="K32">
            <v>2340</v>
          </cell>
          <cell r="L32">
            <v>2340</v>
          </cell>
          <cell r="M32">
            <v>26</v>
          </cell>
          <cell r="N32">
            <v>1</v>
          </cell>
          <cell r="O32">
            <v>177.63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113.99</v>
          </cell>
          <cell r="U32">
            <v>113.99</v>
          </cell>
        </row>
        <row r="33">
          <cell r="F33">
            <v>902852</v>
          </cell>
          <cell r="G33"/>
          <cell r="H33" t="str">
            <v xml:space="preserve">CERVEJA SCHIN 269ML </v>
          </cell>
          <cell r="I33">
            <v>12</v>
          </cell>
          <cell r="J33">
            <v>364</v>
          </cell>
          <cell r="K33">
            <v>9464</v>
          </cell>
          <cell r="L33">
            <v>66248</v>
          </cell>
          <cell r="M33">
            <v>182</v>
          </cell>
          <cell r="N33">
            <v>7</v>
          </cell>
          <cell r="O33">
            <v>25.81</v>
          </cell>
          <cell r="P33">
            <v>0</v>
          </cell>
          <cell r="Q33">
            <v>0</v>
          </cell>
          <cell r="R33">
            <v>4.8000000000000007</v>
          </cell>
          <cell r="S33">
            <v>0.4</v>
          </cell>
          <cell r="T33">
            <v>1.89</v>
          </cell>
          <cell r="U33">
            <v>1.89</v>
          </cell>
        </row>
        <row r="34">
          <cell r="F34">
            <v>903795</v>
          </cell>
          <cell r="G34">
            <v>939591</v>
          </cell>
          <cell r="H34" t="str">
            <v>REFRIGERANTE FYS LIMÃO 350 ML</v>
          </cell>
          <cell r="I34">
            <v>12</v>
          </cell>
          <cell r="J34">
            <v>286</v>
          </cell>
          <cell r="K34">
            <v>7436</v>
          </cell>
          <cell r="L34">
            <v>572</v>
          </cell>
          <cell r="M34">
            <v>2</v>
          </cell>
          <cell r="N34">
            <v>7.6923076923076927E-2</v>
          </cell>
          <cell r="O34">
            <v>27.12</v>
          </cell>
          <cell r="P34">
            <v>1.6800000000000002</v>
          </cell>
          <cell r="Q34">
            <v>0.14000000000000001</v>
          </cell>
          <cell r="R34">
            <v>0</v>
          </cell>
          <cell r="S34">
            <v>0</v>
          </cell>
          <cell r="T34">
            <v>2.7900000000000005</v>
          </cell>
          <cell r="U34">
            <v>2.4900000000000002</v>
          </cell>
        </row>
        <row r="35">
          <cell r="F35">
            <v>903791</v>
          </cell>
          <cell r="G35">
            <v>939304</v>
          </cell>
          <cell r="H35" t="str">
            <v>REFRIGERANTE FYS GUARANÁ 350 ML</v>
          </cell>
          <cell r="I35">
            <v>12</v>
          </cell>
          <cell r="J35">
            <v>286</v>
          </cell>
          <cell r="K35">
            <v>7436</v>
          </cell>
          <cell r="L35">
            <v>572</v>
          </cell>
          <cell r="M35">
            <v>2</v>
          </cell>
          <cell r="N35">
            <v>7.6923076923076927E-2</v>
          </cell>
          <cell r="O35">
            <v>27.12</v>
          </cell>
          <cell r="P35">
            <v>1.6800000000000002</v>
          </cell>
          <cell r="Q35">
            <v>0.14000000000000001</v>
          </cell>
          <cell r="R35">
            <v>0</v>
          </cell>
          <cell r="S35">
            <v>0</v>
          </cell>
          <cell r="T35">
            <v>2.7900000000000005</v>
          </cell>
          <cell r="U35">
            <v>2.4900000000000002</v>
          </cell>
        </row>
        <row r="36">
          <cell r="F36">
            <v>903793</v>
          </cell>
          <cell r="G36">
            <v>939305</v>
          </cell>
          <cell r="H36" t="str">
            <v>REFRIGERANTE FYS LARANJA 350 ML</v>
          </cell>
          <cell r="I36">
            <v>12</v>
          </cell>
          <cell r="J36">
            <v>286</v>
          </cell>
          <cell r="K36">
            <v>7436</v>
          </cell>
          <cell r="L36">
            <v>572</v>
          </cell>
          <cell r="M36">
            <v>2</v>
          </cell>
          <cell r="N36">
            <v>7.6923076923076927E-2</v>
          </cell>
          <cell r="O36">
            <v>27.12</v>
          </cell>
          <cell r="P36">
            <v>1.6800000000000002</v>
          </cell>
          <cell r="Q36">
            <v>0.14000000000000001</v>
          </cell>
          <cell r="R36">
            <v>0</v>
          </cell>
          <cell r="S36">
            <v>0</v>
          </cell>
          <cell r="T36">
            <v>2.7900000000000005</v>
          </cell>
          <cell r="U36">
            <v>2.4900000000000002</v>
          </cell>
        </row>
        <row r="37">
          <cell r="F37">
            <v>903797</v>
          </cell>
          <cell r="G37">
            <v>996080</v>
          </cell>
          <cell r="H37" t="str">
            <v>REFRIGERANTE FYS TÔNICA 350 ML</v>
          </cell>
          <cell r="I37">
            <v>12</v>
          </cell>
          <cell r="J37">
            <v>286</v>
          </cell>
          <cell r="K37">
            <v>7436</v>
          </cell>
          <cell r="L37">
            <v>572</v>
          </cell>
          <cell r="M37">
            <v>2</v>
          </cell>
          <cell r="N37">
            <v>7.6923076923076927E-2</v>
          </cell>
          <cell r="O37">
            <v>30.03</v>
          </cell>
          <cell r="P37">
            <v>1.2000000000000002</v>
          </cell>
          <cell r="Q37">
            <v>0.1</v>
          </cell>
          <cell r="R37">
            <v>0.48</v>
          </cell>
          <cell r="S37">
            <v>0.04</v>
          </cell>
          <cell r="T37">
            <v>3.0900000000000003</v>
          </cell>
          <cell r="U37">
            <v>2.7900000000000005</v>
          </cell>
        </row>
        <row r="38">
          <cell r="F38">
            <v>900525</v>
          </cell>
          <cell r="G38">
            <v>984501</v>
          </cell>
          <cell r="H38" t="str">
            <v>REFRIGERANTE ITUBAINA RETRO LN 355 ML</v>
          </cell>
          <cell r="I38">
            <v>24</v>
          </cell>
          <cell r="J38">
            <v>175</v>
          </cell>
          <cell r="K38">
            <v>4550</v>
          </cell>
          <cell r="L38">
            <v>1225</v>
          </cell>
          <cell r="M38">
            <v>7</v>
          </cell>
          <cell r="N38">
            <v>0.26923076923076922</v>
          </cell>
          <cell r="O38">
            <v>32.950000000000003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3.3900000000000006</v>
          </cell>
          <cell r="U38">
            <v>3.3900000000000006</v>
          </cell>
        </row>
        <row r="39">
          <cell r="F39">
            <v>902321</v>
          </cell>
          <cell r="G39">
            <v>994491</v>
          </cell>
          <cell r="H39" t="str">
            <v>REFRIGERANTE ITUBAINA RETRO LATA 350 ML</v>
          </cell>
          <cell r="I39">
            <v>12</v>
          </cell>
          <cell r="J39">
            <v>286</v>
          </cell>
          <cell r="K39">
            <v>7436</v>
          </cell>
          <cell r="L39">
            <v>4290</v>
          </cell>
          <cell r="M39">
            <v>15</v>
          </cell>
          <cell r="N39">
            <v>0.57692307692307687</v>
          </cell>
          <cell r="O39">
            <v>28.09</v>
          </cell>
          <cell r="P39">
            <v>1.2000000000000002</v>
          </cell>
          <cell r="Q39">
            <v>0.1</v>
          </cell>
          <cell r="R39">
            <v>0</v>
          </cell>
          <cell r="S39">
            <v>0</v>
          </cell>
          <cell r="T39">
            <v>2.8900000000000006</v>
          </cell>
          <cell r="U39">
            <v>2.5900000000000003</v>
          </cell>
        </row>
        <row r="40">
          <cell r="F40">
            <v>903318</v>
          </cell>
          <cell r="G40">
            <v>953862</v>
          </cell>
          <cell r="H40" t="str">
            <v>REFRIGERANTE ITUBAINA PET 500 ML</v>
          </cell>
          <cell r="I40">
            <v>12</v>
          </cell>
          <cell r="J40">
            <v>176</v>
          </cell>
          <cell r="K40">
            <v>4576</v>
          </cell>
          <cell r="L40">
            <v>2640</v>
          </cell>
          <cell r="M40">
            <v>15</v>
          </cell>
          <cell r="N40">
            <v>0.57692307692307687</v>
          </cell>
          <cell r="O40">
            <v>33.92</v>
          </cell>
          <cell r="P40">
            <v>0</v>
          </cell>
          <cell r="Q40">
            <v>0</v>
          </cell>
          <cell r="R40">
            <v>0.60000000000000009</v>
          </cell>
          <cell r="S40">
            <v>0.05</v>
          </cell>
          <cell r="T40">
            <v>3.49</v>
          </cell>
          <cell r="U40">
            <v>3.19</v>
          </cell>
        </row>
        <row r="41">
          <cell r="U41" t="str">
            <v>Sell in</v>
          </cell>
        </row>
        <row r="42">
          <cell r="N42">
            <v>50.255494505494525</v>
          </cell>
          <cell r="S42"/>
          <cell r="T42"/>
          <cell r="U42"/>
        </row>
        <row r="43">
          <cell r="S43"/>
          <cell r="T43"/>
          <cell r="U43"/>
        </row>
        <row r="45">
          <cell r="S45"/>
          <cell r="T45"/>
          <cell r="U45"/>
        </row>
        <row r="47">
          <cell r="S47"/>
          <cell r="T47"/>
          <cell r="U47"/>
        </row>
        <row r="49">
          <cell r="S49"/>
          <cell r="T49"/>
          <cell r="U49"/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álises"/>
      <sheetName val="Validação"/>
      <sheetName val="Abertura Meta"/>
      <sheetName val="Samuel"/>
    </sheetNames>
    <sheetDataSet>
      <sheetData sheetId="0"/>
      <sheetData sheetId="1"/>
      <sheetData sheetId="2"/>
      <sheetData sheetId="3">
        <row r="1">
          <cell r="H1">
            <v>15445.540701708293</v>
          </cell>
        </row>
        <row r="2">
          <cell r="D2" t="str">
            <v>Cód. SKU</v>
          </cell>
          <cell r="E2" t="str">
            <v>Marca</v>
          </cell>
          <cell r="F2" t="str">
            <v>Embalagem</v>
          </cell>
          <cell r="G2" t="str">
            <v>Sabor</v>
          </cell>
          <cell r="H2" t="str">
            <v>S&amp;OP Restrito</v>
          </cell>
        </row>
        <row r="3">
          <cell r="D3">
            <v>904721</v>
          </cell>
          <cell r="E3" t="str">
            <v>Heineken</v>
          </cell>
          <cell r="F3" t="str">
            <v>Lata 269ml</v>
          </cell>
          <cell r="G3" t="str">
            <v>Pilsen</v>
          </cell>
          <cell r="H3">
            <v>3178.0539306391524</v>
          </cell>
        </row>
        <row r="4">
          <cell r="D4">
            <v>904932</v>
          </cell>
          <cell r="E4" t="str">
            <v>Heineken</v>
          </cell>
          <cell r="F4" t="str">
            <v>Lata Sleek 350ml</v>
          </cell>
          <cell r="G4" t="str">
            <v>Pilsen</v>
          </cell>
          <cell r="H4">
            <v>2276.6252265833587</v>
          </cell>
        </row>
        <row r="5">
          <cell r="D5">
            <v>904113</v>
          </cell>
          <cell r="E5" t="str">
            <v>Amstel</v>
          </cell>
          <cell r="F5" t="str">
            <v>Lata 269ml</v>
          </cell>
          <cell r="G5" t="str">
            <v>Lager</v>
          </cell>
          <cell r="H5">
            <v>1024.2386157878291</v>
          </cell>
        </row>
        <row r="6">
          <cell r="D6">
            <v>902321</v>
          </cell>
          <cell r="E6" t="str">
            <v>Itubaina</v>
          </cell>
          <cell r="F6" t="str">
            <v>Lata 350ml</v>
          </cell>
          <cell r="G6" t="str">
            <v>Itubaína</v>
          </cell>
          <cell r="H6">
            <v>1217.5102108040112</v>
          </cell>
        </row>
        <row r="7">
          <cell r="D7">
            <v>903318</v>
          </cell>
          <cell r="E7" t="str">
            <v>Itubaina</v>
          </cell>
          <cell r="F7" t="str">
            <v>Pet 500ml</v>
          </cell>
          <cell r="G7" t="str">
            <v>Itubaína</v>
          </cell>
          <cell r="H7">
            <v>1100.5001983671193</v>
          </cell>
        </row>
        <row r="8">
          <cell r="D8">
            <v>903474</v>
          </cell>
          <cell r="E8" t="str">
            <v>Heineken</v>
          </cell>
          <cell r="F8" t="str">
            <v>Vidro 250ml</v>
          </cell>
          <cell r="G8" t="str">
            <v>Pilsen</v>
          </cell>
          <cell r="H8">
            <v>1015.7791142938404</v>
          </cell>
        </row>
        <row r="9">
          <cell r="D9">
            <v>903478</v>
          </cell>
          <cell r="E9" t="str">
            <v>Heineken</v>
          </cell>
          <cell r="F9" t="str">
            <v>Vidro 330ml</v>
          </cell>
          <cell r="G9" t="str">
            <v>Pilsen</v>
          </cell>
          <cell r="H9">
            <v>998.43689247493921</v>
          </cell>
        </row>
        <row r="10">
          <cell r="D10">
            <v>904952</v>
          </cell>
          <cell r="E10" t="str">
            <v>Amstel</v>
          </cell>
          <cell r="F10" t="str">
            <v>Lata Sleek 350ml</v>
          </cell>
          <cell r="G10" t="str">
            <v>Lager</v>
          </cell>
          <cell r="H10">
            <v>933.50238588312027</v>
          </cell>
        </row>
        <row r="11">
          <cell r="D11">
            <v>903750</v>
          </cell>
          <cell r="E11" t="str">
            <v>Eisenbahn</v>
          </cell>
          <cell r="F11" t="str">
            <v>Lata 350ml</v>
          </cell>
          <cell r="G11" t="str">
            <v>Pilsen</v>
          </cell>
          <cell r="H11">
            <v>682.05427503988267</v>
          </cell>
        </row>
        <row r="12">
          <cell r="D12">
            <v>900525</v>
          </cell>
          <cell r="E12" t="str">
            <v>Itubaina</v>
          </cell>
          <cell r="F12" t="str">
            <v>Vidro 355ml</v>
          </cell>
          <cell r="G12" t="str">
            <v>Itubaína</v>
          </cell>
          <cell r="H12">
            <v>579.3578727679544</v>
          </cell>
        </row>
        <row r="13">
          <cell r="D13">
            <v>903483</v>
          </cell>
          <cell r="E13" t="str">
            <v>Heineken</v>
          </cell>
          <cell r="F13" t="str">
            <v>Keg 5L</v>
          </cell>
          <cell r="G13" t="str">
            <v>Pilsen</v>
          </cell>
          <cell r="H13">
            <v>428.66051177011542</v>
          </cell>
        </row>
        <row r="14">
          <cell r="D14">
            <v>904194</v>
          </cell>
          <cell r="E14" t="str">
            <v>Eisenbahn</v>
          </cell>
          <cell r="F14" t="str">
            <v>Lata 269ml</v>
          </cell>
          <cell r="G14" t="str">
            <v>Pilsen</v>
          </cell>
          <cell r="H14">
            <v>225.47286887816139</v>
          </cell>
        </row>
        <row r="15">
          <cell r="D15">
            <v>904961</v>
          </cell>
          <cell r="E15" t="str">
            <v>Heineken 0.0%</v>
          </cell>
          <cell r="F15" t="str">
            <v>Lata Sleek 350ml</v>
          </cell>
          <cell r="G15" t="str">
            <v>Pilsen Zero</v>
          </cell>
          <cell r="H15">
            <v>220.90674766946134</v>
          </cell>
        </row>
        <row r="16">
          <cell r="D16">
            <v>903996</v>
          </cell>
          <cell r="E16" t="str">
            <v>Heineken 0.0%</v>
          </cell>
          <cell r="F16" t="str">
            <v>Vidro 330ml</v>
          </cell>
          <cell r="G16" t="str">
            <v>Pilsen Zero</v>
          </cell>
          <cell r="H16">
            <v>204.65499473479858</v>
          </cell>
        </row>
        <row r="17">
          <cell r="D17">
            <v>904701</v>
          </cell>
          <cell r="E17" t="str">
            <v>Sol Premium</v>
          </cell>
          <cell r="F17" t="str">
            <v>Vidro 330ml Pry Off</v>
          </cell>
          <cell r="G17" t="str">
            <v>Pilsen</v>
          </cell>
          <cell r="H17">
            <v>137.74446176418658</v>
          </cell>
        </row>
        <row r="18">
          <cell r="D18">
            <v>903480</v>
          </cell>
          <cell r="E18" t="str">
            <v>Heineken</v>
          </cell>
          <cell r="F18" t="str">
            <v>Vidro 600ml</v>
          </cell>
          <cell r="G18" t="str">
            <v>Pilsen</v>
          </cell>
          <cell r="H18">
            <v>122.84633432784787</v>
          </cell>
        </row>
        <row r="19">
          <cell r="D19">
            <v>904895</v>
          </cell>
          <cell r="E19" t="str">
            <v>Heineken 0.0%</v>
          </cell>
          <cell r="F19" t="str">
            <v>Lata 269ml</v>
          </cell>
          <cell r="G19" t="str">
            <v>Pilsen Zero</v>
          </cell>
          <cell r="H19">
            <v>104.28896260131955</v>
          </cell>
        </row>
        <row r="20">
          <cell r="D20">
            <v>903681</v>
          </cell>
          <cell r="E20" t="str">
            <v>Eisenbahn</v>
          </cell>
          <cell r="F20" t="str">
            <v>Lata 350ml</v>
          </cell>
          <cell r="G20" t="str">
            <v>India Pale Ale</v>
          </cell>
          <cell r="H20">
            <v>100.15679012330087</v>
          </cell>
        </row>
        <row r="21">
          <cell r="D21">
            <v>901781</v>
          </cell>
          <cell r="E21" t="str">
            <v>Eisenbahn</v>
          </cell>
          <cell r="F21" t="str">
            <v>Vidro 355ml</v>
          </cell>
          <cell r="G21" t="str">
            <v>Pilsen</v>
          </cell>
          <cell r="H21">
            <v>81.56112552546962</v>
          </cell>
        </row>
        <row r="22">
          <cell r="D22">
            <v>903791</v>
          </cell>
          <cell r="E22" t="str">
            <v>Fys</v>
          </cell>
          <cell r="F22" t="str">
            <v>Lata 350ml</v>
          </cell>
          <cell r="G22" t="str">
            <v>Guaraná</v>
          </cell>
          <cell r="H22">
            <v>72.995433485604721</v>
          </cell>
        </row>
        <row r="23">
          <cell r="D23">
            <v>903793</v>
          </cell>
          <cell r="E23" t="str">
            <v>Fys</v>
          </cell>
          <cell r="F23" t="str">
            <v>Lata 350ml</v>
          </cell>
          <cell r="G23" t="str">
            <v>Laranja</v>
          </cell>
          <cell r="H23">
            <v>69.596480293057965</v>
          </cell>
        </row>
        <row r="24">
          <cell r="D24">
            <v>904451</v>
          </cell>
          <cell r="E24" t="str">
            <v>Baden - Baden</v>
          </cell>
          <cell r="F24" t="str">
            <v>Lata 350ml</v>
          </cell>
          <cell r="G24" t="str">
            <v>India Pale Ale</v>
          </cell>
          <cell r="H24">
            <v>67.57062423521154</v>
          </cell>
        </row>
        <row r="25">
          <cell r="D25">
            <v>903795</v>
          </cell>
          <cell r="E25" t="str">
            <v>Fys</v>
          </cell>
          <cell r="F25" t="str">
            <v>Lata 350ml</v>
          </cell>
          <cell r="G25" t="str">
            <v>Limão</v>
          </cell>
          <cell r="H25">
            <v>66.357199816574123</v>
          </cell>
        </row>
        <row r="26">
          <cell r="D26">
            <v>904193</v>
          </cell>
          <cell r="E26" t="str">
            <v>Baden - Baden</v>
          </cell>
          <cell r="F26" t="str">
            <v>Lata 350ml</v>
          </cell>
          <cell r="G26" t="str">
            <v>Witbier</v>
          </cell>
          <cell r="H26">
            <v>55.628004245381824</v>
          </cell>
        </row>
        <row r="27">
          <cell r="D27">
            <v>903797</v>
          </cell>
          <cell r="E27" t="str">
            <v>Fys</v>
          </cell>
          <cell r="F27" t="str">
            <v>Lata 350ml</v>
          </cell>
          <cell r="G27" t="str">
            <v>Tônica</v>
          </cell>
          <cell r="H27">
            <v>49.436990132072829</v>
          </cell>
        </row>
        <row r="28">
          <cell r="D28">
            <v>904772</v>
          </cell>
          <cell r="E28" t="str">
            <v>Eisenbahn Unfiltered</v>
          </cell>
          <cell r="F28" t="str">
            <v>Lata 350ml</v>
          </cell>
          <cell r="G28" t="str">
            <v>Pilsen Unfiltered</v>
          </cell>
          <cell r="H28">
            <v>43.494472674870174</v>
          </cell>
        </row>
        <row r="29">
          <cell r="D29">
            <v>903741</v>
          </cell>
          <cell r="E29" t="str">
            <v>Eisenbahn</v>
          </cell>
          <cell r="F29" t="str">
            <v>Vidro 355ml</v>
          </cell>
          <cell r="G29" t="str">
            <v>India Pale Ale</v>
          </cell>
          <cell r="H29">
            <v>42.8607334701234</v>
          </cell>
        </row>
        <row r="30">
          <cell r="D30">
            <v>904773</v>
          </cell>
          <cell r="E30" t="str">
            <v>Eisenbahn</v>
          </cell>
          <cell r="F30" t="str">
            <v>Lata 350ml</v>
          </cell>
          <cell r="G30" t="str">
            <v>Session Ipa</v>
          </cell>
          <cell r="H30">
            <v>37.470284809530341</v>
          </cell>
        </row>
        <row r="31">
          <cell r="D31">
            <v>903683</v>
          </cell>
          <cell r="E31" t="str">
            <v>Eisenbahn</v>
          </cell>
          <cell r="F31" t="str">
            <v>Lata 350ml</v>
          </cell>
          <cell r="G31" t="str">
            <v>Pale Ale</v>
          </cell>
          <cell r="H31">
            <v>34.481153521060719</v>
          </cell>
        </row>
        <row r="32">
          <cell r="D32">
            <v>904441</v>
          </cell>
          <cell r="E32" t="str">
            <v>Baden - Baden</v>
          </cell>
          <cell r="F32" t="str">
            <v>Lata 350ml</v>
          </cell>
          <cell r="G32" t="str">
            <v>Pilsen Cristal</v>
          </cell>
          <cell r="H32">
            <v>34.064865349370905</v>
          </cell>
        </row>
        <row r="33">
          <cell r="D33">
            <v>902832</v>
          </cell>
          <cell r="E33" t="str">
            <v>Baden - Baden</v>
          </cell>
          <cell r="F33" t="str">
            <v>Vidro 600ml</v>
          </cell>
          <cell r="G33" t="str">
            <v>India Pale Ale</v>
          </cell>
          <cell r="H33">
            <v>22.706594976098948</v>
          </cell>
        </row>
        <row r="34">
          <cell r="D34">
            <v>902544</v>
          </cell>
          <cell r="E34" t="str">
            <v>Eisenbahn</v>
          </cell>
          <cell r="F34" t="str">
            <v>Vidro 355ml</v>
          </cell>
          <cell r="G34" t="str">
            <v>Pale Ale</v>
          </cell>
          <cell r="H34">
            <v>22.275703600644814</v>
          </cell>
        </row>
        <row r="35">
          <cell r="D35">
            <v>905052</v>
          </cell>
          <cell r="E35" t="str">
            <v>Amstel</v>
          </cell>
          <cell r="F35" t="str">
            <v>Vidro 355ml</v>
          </cell>
          <cell r="G35" t="str">
            <v>Lager</v>
          </cell>
          <cell r="H35">
            <v>20.218269558108179</v>
          </cell>
        </row>
        <row r="36">
          <cell r="D36">
            <v>904496</v>
          </cell>
          <cell r="E36" t="str">
            <v>Fys</v>
          </cell>
          <cell r="F36" t="str">
            <v>Lata 350ml</v>
          </cell>
          <cell r="G36" t="str">
            <v>Tônica Zero</v>
          </cell>
          <cell r="H36">
            <v>18.105979429969167</v>
          </cell>
        </row>
        <row r="37">
          <cell r="D37">
            <v>904771</v>
          </cell>
          <cell r="E37" t="str">
            <v>Eisenbahn Unfiltered</v>
          </cell>
          <cell r="F37" t="str">
            <v>Vidro 355ml</v>
          </cell>
          <cell r="G37" t="str">
            <v>Pilsen Unfiltered</v>
          </cell>
          <cell r="H37">
            <v>17.815494236325321</v>
          </cell>
        </row>
        <row r="38">
          <cell r="D38">
            <v>901162</v>
          </cell>
          <cell r="E38" t="str">
            <v>Baden - Baden</v>
          </cell>
          <cell r="F38" t="str">
            <v>Vidro 600ml</v>
          </cell>
          <cell r="G38" t="str">
            <v>Witbier</v>
          </cell>
          <cell r="H38">
            <v>17.607746103539672</v>
          </cell>
        </row>
        <row r="39">
          <cell r="D39">
            <v>902581</v>
          </cell>
          <cell r="E39" t="str">
            <v>Eisenbahn</v>
          </cell>
          <cell r="F39" t="str">
            <v>Vidro 355ml</v>
          </cell>
          <cell r="G39" t="str">
            <v>Weizenbier</v>
          </cell>
          <cell r="H39">
            <v>17.224737614718869</v>
          </cell>
        </row>
        <row r="40">
          <cell r="D40">
            <v>419446</v>
          </cell>
          <cell r="E40" t="str">
            <v>Baer Spritz</v>
          </cell>
          <cell r="F40" t="str">
            <v>Lata 269ml</v>
          </cell>
          <cell r="G40" t="str">
            <v>Spritz Abacaxi</v>
          </cell>
          <cell r="H40">
            <v>3.7230004667211238</v>
          </cell>
        </row>
        <row r="41">
          <cell r="D41">
            <v>419445</v>
          </cell>
          <cell r="E41" t="str">
            <v>Baer Spritz</v>
          </cell>
          <cell r="F41" t="str">
            <v>Lata 269ml</v>
          </cell>
          <cell r="G41" t="str">
            <v>Spritz Jabuticaba</v>
          </cell>
          <cell r="H41">
            <v>3.7048529457086006</v>
          </cell>
        </row>
        <row r="42">
          <cell r="D42">
            <v>900118</v>
          </cell>
          <cell r="E42" t="str">
            <v>Baden - Baden</v>
          </cell>
          <cell r="F42" t="str">
            <v>Vidro 600ml</v>
          </cell>
          <cell r="G42" t="str">
            <v>Ale Golden</v>
          </cell>
          <cell r="H42">
            <v>15.036378354686617</v>
          </cell>
        </row>
        <row r="43">
          <cell r="D43">
            <v>904631</v>
          </cell>
          <cell r="E43" t="str">
            <v>Amstel Ultra</v>
          </cell>
          <cell r="F43" t="str">
            <v>Vidro 275ml</v>
          </cell>
          <cell r="G43" t="str">
            <v>Lager</v>
          </cell>
          <cell r="H43">
            <v>11.222351103363971</v>
          </cell>
        </row>
        <row r="44">
          <cell r="D44">
            <v>904743</v>
          </cell>
          <cell r="E44" t="str">
            <v>Baden - Baden</v>
          </cell>
          <cell r="F44" t="str">
            <v>Lata 350ml</v>
          </cell>
          <cell r="G44" t="str">
            <v>Peach</v>
          </cell>
          <cell r="H44">
            <v>10.527808811858005</v>
          </cell>
        </row>
        <row r="45">
          <cell r="D45">
            <v>900109</v>
          </cell>
          <cell r="E45" t="str">
            <v>Baden - Baden</v>
          </cell>
          <cell r="F45" t="str">
            <v>Vidro 600ml</v>
          </cell>
          <cell r="G45" t="str">
            <v>Pilsen Cristal</v>
          </cell>
          <cell r="H45">
            <v>9.9054795100023743</v>
          </cell>
        </row>
        <row r="46">
          <cell r="D46">
            <v>904602</v>
          </cell>
          <cell r="E46" t="str">
            <v>Blue Moon</v>
          </cell>
          <cell r="F46" t="str">
            <v>Vidro 355ml</v>
          </cell>
          <cell r="G46" t="str">
            <v>Witbier</v>
          </cell>
          <cell r="H46">
            <v>9.9037117025788994</v>
          </cell>
        </row>
        <row r="47">
          <cell r="D47">
            <v>903901</v>
          </cell>
          <cell r="E47" t="str">
            <v>Lagunitas</v>
          </cell>
          <cell r="F47" t="str">
            <v>Vidro 355ml</v>
          </cell>
          <cell r="G47" t="str">
            <v>India Pale Ale</v>
          </cell>
          <cell r="H47">
            <v>9.3050823900497619</v>
          </cell>
        </row>
        <row r="48">
          <cell r="D48">
            <v>904742</v>
          </cell>
          <cell r="E48" t="str">
            <v>Baden - Baden</v>
          </cell>
          <cell r="F48" t="str">
            <v>Vidro 600ml</v>
          </cell>
          <cell r="G48" t="str">
            <v>Peach</v>
          </cell>
          <cell r="H48">
            <v>6.9924560865908436</v>
          </cell>
        </row>
        <row r="49">
          <cell r="D49">
            <v>904612</v>
          </cell>
          <cell r="E49" t="str">
            <v>Blue Moon</v>
          </cell>
          <cell r="F49" t="str">
            <v>Lata 350ml</v>
          </cell>
          <cell r="G49" t="str">
            <v>Witbier</v>
          </cell>
          <cell r="H49">
            <v>6.8597333743358773</v>
          </cell>
        </row>
        <row r="50">
          <cell r="D50">
            <v>633658</v>
          </cell>
          <cell r="E50" t="str">
            <v>Five</v>
          </cell>
          <cell r="F50" t="str">
            <v>Lata 310ml</v>
          </cell>
          <cell r="G50" t="str">
            <v>Cosmopolit</v>
          </cell>
          <cell r="H50">
            <v>3.3099051630742702</v>
          </cell>
        </row>
        <row r="51">
          <cell r="D51">
            <v>418628</v>
          </cell>
          <cell r="E51" t="str">
            <v>Five</v>
          </cell>
          <cell r="F51" t="str">
            <v>Lata 220ml</v>
          </cell>
          <cell r="G51" t="str">
            <v>Moscow Mule</v>
          </cell>
          <cell r="H51">
            <v>3.0458333697270281</v>
          </cell>
        </row>
        <row r="52">
          <cell r="D52">
            <v>419450</v>
          </cell>
          <cell r="E52" t="str">
            <v>Vermelhão</v>
          </cell>
          <cell r="F52" t="str">
            <v>Vidro 740ml</v>
          </cell>
          <cell r="G52" t="str">
            <v>Amaro</v>
          </cell>
          <cell r="H52">
            <v>2.667588899582146</v>
          </cell>
        </row>
        <row r="53">
          <cell r="D53">
            <v>904782</v>
          </cell>
          <cell r="E53" t="str">
            <v>Lagunitas</v>
          </cell>
          <cell r="F53" t="str">
            <v>Lata 350ml</v>
          </cell>
          <cell r="G53" t="str">
            <v>India Pale Ale</v>
          </cell>
          <cell r="H53">
            <v>3.0195253639501094</v>
          </cell>
        </row>
        <row r="54">
          <cell r="D54">
            <v>418638</v>
          </cell>
          <cell r="E54" t="str">
            <v>Vivant</v>
          </cell>
          <cell r="F54" t="str">
            <v>Lata 269ml</v>
          </cell>
          <cell r="G54" t="str">
            <v>Branco Frisante</v>
          </cell>
          <cell r="H54">
            <v>1.4081881787550983</v>
          </cell>
        </row>
        <row r="55">
          <cell r="D55">
            <v>419456</v>
          </cell>
          <cell r="E55" t="str">
            <v>Vivant</v>
          </cell>
          <cell r="F55" t="str">
            <v>Lata 269ml</v>
          </cell>
          <cell r="G55" t="str">
            <v>Rose Frisant</v>
          </cell>
          <cell r="H55">
            <v>1.3232591995853642</v>
          </cell>
        </row>
        <row r="56">
          <cell r="D56">
            <v>419560</v>
          </cell>
          <cell r="E56" t="str">
            <v>Vivant</v>
          </cell>
          <cell r="F56" t="str">
            <v>Lata 269ml</v>
          </cell>
          <cell r="G56" t="str">
            <v>Branco Chardon</v>
          </cell>
          <cell r="H56">
            <v>1.3232591995853642</v>
          </cell>
        </row>
        <row r="57">
          <cell r="D57">
            <v>904831</v>
          </cell>
          <cell r="E57" t="str">
            <v>Baden - Baden</v>
          </cell>
          <cell r="F57" t="str">
            <v>Lata 350ml</v>
          </cell>
          <cell r="G57" t="str">
            <v>Ale Golden</v>
          </cell>
          <cell r="H57">
            <v>0</v>
          </cell>
        </row>
        <row r="58">
          <cell r="D58">
            <v>904791</v>
          </cell>
          <cell r="E58" t="str">
            <v>Tiger</v>
          </cell>
          <cell r="F58" t="str">
            <v>Lata 350ml</v>
          </cell>
          <cell r="G58" t="str">
            <v>Lager</v>
          </cell>
          <cell r="H58">
            <v>0</v>
          </cell>
        </row>
        <row r="59">
          <cell r="D59">
            <v>904501</v>
          </cell>
          <cell r="E59" t="str">
            <v>Amstel</v>
          </cell>
          <cell r="F59" t="str">
            <v>Vidro 600ml</v>
          </cell>
          <cell r="G59" t="str">
            <v>Lager</v>
          </cell>
          <cell r="H59">
            <v>0</v>
          </cell>
        </row>
        <row r="60">
          <cell r="D60">
            <v>904505</v>
          </cell>
          <cell r="E60" t="str">
            <v>Amstel</v>
          </cell>
          <cell r="F60" t="str">
            <v>Lata 350ml</v>
          </cell>
          <cell r="G60" t="str">
            <v>Lager</v>
          </cell>
          <cell r="H60">
            <v>0</v>
          </cell>
        </row>
        <row r="61">
          <cell r="D61">
            <v>904632</v>
          </cell>
          <cell r="E61" t="str">
            <v>Amstel Ultra</v>
          </cell>
          <cell r="F61" t="str">
            <v>Lata 269ml</v>
          </cell>
          <cell r="G61" t="str">
            <v>Lager</v>
          </cell>
          <cell r="H61">
            <v>0</v>
          </cell>
        </row>
        <row r="62">
          <cell r="D62">
            <v>905283</v>
          </cell>
          <cell r="E62" t="str">
            <v>Fys</v>
          </cell>
          <cell r="F62" t="str">
            <v>Lata 350ml</v>
          </cell>
          <cell r="G62" t="str">
            <v>Guaraná Zero</v>
          </cell>
          <cell r="H62">
            <v>0</v>
          </cell>
        </row>
        <row r="63">
          <cell r="D63">
            <v>905282</v>
          </cell>
          <cell r="E63" t="str">
            <v>Fys</v>
          </cell>
          <cell r="F63" t="str">
            <v>Lata 350ml</v>
          </cell>
          <cell r="G63" t="str">
            <v>Limão Zero</v>
          </cell>
          <cell r="H63">
            <v>0</v>
          </cell>
        </row>
        <row r="64">
          <cell r="D64">
            <v>904542</v>
          </cell>
          <cell r="E64" t="str">
            <v>Eisenbahn</v>
          </cell>
          <cell r="F64" t="str">
            <v>Vidro 600ml</v>
          </cell>
          <cell r="G64" t="str">
            <v>Pilsen</v>
          </cell>
          <cell r="H64">
            <v>0</v>
          </cell>
        </row>
        <row r="65">
          <cell r="D65">
            <v>903423</v>
          </cell>
          <cell r="E65" t="str">
            <v>Heineken</v>
          </cell>
          <cell r="F65" t="str">
            <v>Lata 350ml</v>
          </cell>
          <cell r="G65" t="str">
            <v>Pilsen</v>
          </cell>
          <cell r="H65">
            <v>0</v>
          </cell>
        </row>
        <row r="66">
          <cell r="D66">
            <v>903476</v>
          </cell>
          <cell r="E66" t="str">
            <v>Heineken</v>
          </cell>
          <cell r="F66" t="str">
            <v>Lata 250ml</v>
          </cell>
          <cell r="G66" t="str">
            <v>Pilsen</v>
          </cell>
          <cell r="H66">
            <v>0</v>
          </cell>
        </row>
        <row r="67">
          <cell r="D67">
            <v>904651</v>
          </cell>
          <cell r="E67" t="str">
            <v>Heineken</v>
          </cell>
          <cell r="F67" t="str">
            <v>Vidro 330ml Pry Off</v>
          </cell>
          <cell r="G67" t="str">
            <v>Pilsen</v>
          </cell>
          <cell r="H67">
            <v>0</v>
          </cell>
        </row>
        <row r="68">
          <cell r="D68">
            <v>903464</v>
          </cell>
          <cell r="E68" t="str">
            <v>Sol Premium</v>
          </cell>
          <cell r="F68" t="str">
            <v>Vidro 330ml</v>
          </cell>
          <cell r="G68" t="str">
            <v>Pilsen</v>
          </cell>
          <cell r="H68">
            <v>0</v>
          </cell>
        </row>
        <row r="69">
          <cell r="D69">
            <v>903991</v>
          </cell>
          <cell r="E69" t="str">
            <v>Heineken 0.0%</v>
          </cell>
          <cell r="F69" t="str">
            <v>Lata 350ml</v>
          </cell>
          <cell r="G69" t="str">
            <v>Pilsen Zero</v>
          </cell>
          <cell r="H69">
            <v>0</v>
          </cell>
        </row>
        <row r="70">
          <cell r="D70">
            <v>905072</v>
          </cell>
          <cell r="E70" t="str">
            <v>Amstel Vibes</v>
          </cell>
          <cell r="F70" t="str">
            <v>Lata 269ml</v>
          </cell>
          <cell r="G70" t="str">
            <v>Limão</v>
          </cell>
          <cell r="H70">
            <v>0</v>
          </cell>
        </row>
        <row r="71">
          <cell r="D71">
            <v>905073</v>
          </cell>
          <cell r="E71" t="str">
            <v>Amstel Vibes</v>
          </cell>
          <cell r="F71" t="str">
            <v>Lata 269ml</v>
          </cell>
          <cell r="G71" t="str">
            <v>Melancia E Morango</v>
          </cell>
          <cell r="H71">
            <v>0</v>
          </cell>
        </row>
        <row r="72">
          <cell r="D72">
            <v>904602</v>
          </cell>
          <cell r="E72" t="str">
            <v>Blue Moon</v>
          </cell>
          <cell r="F72" t="str">
            <v>Vidro 355ml</v>
          </cell>
          <cell r="G72" t="str">
            <v>Witbier</v>
          </cell>
          <cell r="H72">
            <v>0</v>
          </cell>
        </row>
        <row r="73">
          <cell r="D73">
            <v>904612</v>
          </cell>
          <cell r="E73" t="str">
            <v>Blue Moon</v>
          </cell>
          <cell r="F73" t="str">
            <v>Lata 350ml</v>
          </cell>
          <cell r="G73" t="str">
            <v>Witbier</v>
          </cell>
          <cell r="H73">
            <v>0</v>
          </cell>
        </row>
        <row r="74">
          <cell r="D74">
            <v>903901</v>
          </cell>
          <cell r="E74" t="str">
            <v>Lagunitas</v>
          </cell>
          <cell r="F74" t="str">
            <v>Vidro 355ml</v>
          </cell>
          <cell r="G74" t="str">
            <v>India Pale Ale</v>
          </cell>
          <cell r="H74">
            <v>0</v>
          </cell>
        </row>
        <row r="75">
          <cell r="D75">
            <v>904782</v>
          </cell>
          <cell r="E75" t="str">
            <v>Lagunitas</v>
          </cell>
          <cell r="F75" t="str">
            <v>Lata 350ml</v>
          </cell>
          <cell r="G75" t="str">
            <v>India Pale Ale</v>
          </cell>
          <cell r="H75">
            <v>0</v>
          </cell>
        </row>
        <row r="76">
          <cell r="D76">
            <v>900118</v>
          </cell>
          <cell r="E76" t="str">
            <v>Baden - Baden</v>
          </cell>
          <cell r="F76" t="str">
            <v>Vidro 600ml</v>
          </cell>
          <cell r="G76" t="str">
            <v>Ale Golden</v>
          </cell>
          <cell r="H76">
            <v>1.4320360337796778</v>
          </cell>
        </row>
        <row r="77">
          <cell r="D77">
            <v>902832</v>
          </cell>
          <cell r="E77" t="str">
            <v>Baden - Baden</v>
          </cell>
          <cell r="F77" t="str">
            <v>Vidro 600ml</v>
          </cell>
          <cell r="G77" t="str">
            <v>India Pale Ale</v>
          </cell>
          <cell r="H77">
            <v>0.84098499911477598</v>
          </cell>
        </row>
        <row r="78">
          <cell r="D78">
            <v>904742</v>
          </cell>
          <cell r="E78" t="str">
            <v>Baden - Baden</v>
          </cell>
          <cell r="F78" t="str">
            <v>Vidro 600ml</v>
          </cell>
          <cell r="G78" t="str">
            <v>Peach</v>
          </cell>
          <cell r="H78">
            <v>0</v>
          </cell>
        </row>
        <row r="79">
          <cell r="D79">
            <v>900109</v>
          </cell>
          <cell r="E79" t="str">
            <v>Baden - Baden</v>
          </cell>
          <cell r="F79" t="str">
            <v>Vidro 600ml</v>
          </cell>
          <cell r="G79" t="str">
            <v>Pilsen Cristal</v>
          </cell>
          <cell r="H79">
            <v>0</v>
          </cell>
        </row>
        <row r="80">
          <cell r="D80">
            <v>901162</v>
          </cell>
          <cell r="E80" t="str">
            <v>Baden - Baden</v>
          </cell>
          <cell r="F80" t="str">
            <v>Vidro 600ml</v>
          </cell>
          <cell r="G80" t="str">
            <v>Witbier</v>
          </cell>
          <cell r="H80">
            <v>1.6379298700967135</v>
          </cell>
        </row>
        <row r="81">
          <cell r="D81">
            <v>904831</v>
          </cell>
          <cell r="E81" t="str">
            <v>Baden - Baden</v>
          </cell>
          <cell r="F81" t="str">
            <v>Lata 350ml</v>
          </cell>
          <cell r="G81" t="str">
            <v>Ale Golden</v>
          </cell>
          <cell r="H81">
            <v>0</v>
          </cell>
        </row>
        <row r="82">
          <cell r="D82">
            <v>904451</v>
          </cell>
          <cell r="E82" t="str">
            <v>Baden - Baden</v>
          </cell>
          <cell r="F82" t="str">
            <v>Lata 350ml</v>
          </cell>
          <cell r="G82" t="str">
            <v>India Pale Ale</v>
          </cell>
          <cell r="H82">
            <v>0</v>
          </cell>
        </row>
        <row r="83">
          <cell r="D83">
            <v>904743</v>
          </cell>
          <cell r="E83" t="str">
            <v>Baden - Baden</v>
          </cell>
          <cell r="F83" t="str">
            <v>Lata 350ml</v>
          </cell>
          <cell r="G83" t="str">
            <v>Peach</v>
          </cell>
          <cell r="H83">
            <v>0</v>
          </cell>
        </row>
        <row r="84">
          <cell r="D84">
            <v>904441</v>
          </cell>
          <cell r="E84" t="str">
            <v>Baden - Baden</v>
          </cell>
          <cell r="F84" t="str">
            <v>Lata 350ml</v>
          </cell>
          <cell r="G84" t="str">
            <v>Pilsen Cristal</v>
          </cell>
          <cell r="H84">
            <v>0</v>
          </cell>
        </row>
        <row r="85">
          <cell r="D85">
            <v>904193</v>
          </cell>
          <cell r="E85" t="str">
            <v>Baden - Baden</v>
          </cell>
          <cell r="F85" t="str">
            <v>Lata 350ml</v>
          </cell>
          <cell r="G85" t="str">
            <v>Witbier</v>
          </cell>
          <cell r="H85">
            <v>0</v>
          </cell>
        </row>
        <row r="86">
          <cell r="D86">
            <v>904501</v>
          </cell>
          <cell r="E86" t="str">
            <v>Amstel</v>
          </cell>
          <cell r="F86" t="str">
            <v>Vidro 600ml</v>
          </cell>
          <cell r="G86" t="str">
            <v>Lager</v>
          </cell>
          <cell r="H86">
            <v>0</v>
          </cell>
        </row>
        <row r="87">
          <cell r="D87">
            <v>905052</v>
          </cell>
          <cell r="E87" t="str">
            <v>Amstel</v>
          </cell>
          <cell r="F87" t="str">
            <v>Vidro 355ml</v>
          </cell>
          <cell r="G87" t="str">
            <v>Lager</v>
          </cell>
          <cell r="H87">
            <v>19.226957002163392</v>
          </cell>
        </row>
        <row r="88">
          <cell r="D88">
            <v>904505</v>
          </cell>
          <cell r="E88" t="str">
            <v>Amstel</v>
          </cell>
          <cell r="F88" t="str">
            <v>Lata 350ml</v>
          </cell>
          <cell r="G88" t="str">
            <v>Lager</v>
          </cell>
          <cell r="H88">
            <v>0</v>
          </cell>
        </row>
        <row r="89">
          <cell r="D89">
            <v>904113</v>
          </cell>
          <cell r="E89" t="str">
            <v>Amstel</v>
          </cell>
          <cell r="F89" t="str">
            <v>Lata 269ml</v>
          </cell>
          <cell r="G89" t="str">
            <v>Lager</v>
          </cell>
          <cell r="H89">
            <v>654.09363164740842</v>
          </cell>
        </row>
        <row r="90">
          <cell r="D90">
            <v>904952</v>
          </cell>
          <cell r="E90" t="str">
            <v>Amstel</v>
          </cell>
          <cell r="F90" t="str">
            <v>Lata Sleek 350ml</v>
          </cell>
          <cell r="G90" t="str">
            <v>Lager</v>
          </cell>
          <cell r="H90">
            <v>444.08592813961212</v>
          </cell>
        </row>
        <row r="91">
          <cell r="D91">
            <v>904632</v>
          </cell>
          <cell r="E91" t="str">
            <v>Amstel Ultra</v>
          </cell>
          <cell r="F91" t="str">
            <v>Lata 269ml</v>
          </cell>
          <cell r="G91" t="str">
            <v>Lager</v>
          </cell>
          <cell r="H91">
            <v>3.9432533344291572</v>
          </cell>
        </row>
        <row r="92">
          <cell r="D92">
            <v>904631</v>
          </cell>
          <cell r="E92" t="str">
            <v>Amstel Ultra</v>
          </cell>
          <cell r="F92" t="str">
            <v>Vidro 275ml</v>
          </cell>
          <cell r="G92" t="str">
            <v>Lager</v>
          </cell>
          <cell r="H92">
            <v>17.183982464475822</v>
          </cell>
        </row>
        <row r="93">
          <cell r="D93">
            <v>903126</v>
          </cell>
          <cell r="E93" t="str">
            <v>Devassa</v>
          </cell>
          <cell r="F93" t="str">
            <v>Lata 269ml</v>
          </cell>
          <cell r="G93" t="str">
            <v>Lager</v>
          </cell>
          <cell r="H93">
            <v>0</v>
          </cell>
        </row>
        <row r="94">
          <cell r="D94">
            <v>903791</v>
          </cell>
          <cell r="E94" t="str">
            <v>Fys</v>
          </cell>
          <cell r="F94" t="str">
            <v>Lata 350ml</v>
          </cell>
          <cell r="G94" t="str">
            <v>Guaraná</v>
          </cell>
          <cell r="H94">
            <v>0</v>
          </cell>
        </row>
        <row r="95">
          <cell r="D95">
            <v>903793</v>
          </cell>
          <cell r="E95" t="str">
            <v>Fys</v>
          </cell>
          <cell r="F95" t="str">
            <v>Lata 350ml</v>
          </cell>
          <cell r="G95" t="str">
            <v>Laranja</v>
          </cell>
          <cell r="H95">
            <v>4.9762075815200921</v>
          </cell>
        </row>
        <row r="96">
          <cell r="D96">
            <v>903795</v>
          </cell>
          <cell r="E96" t="str">
            <v>Fys</v>
          </cell>
          <cell r="F96" t="str">
            <v>Lata 350ml</v>
          </cell>
          <cell r="G96" t="str">
            <v>Limão</v>
          </cell>
          <cell r="H96">
            <v>6.0345735671962855</v>
          </cell>
        </row>
        <row r="97">
          <cell r="D97">
            <v>903797</v>
          </cell>
          <cell r="E97" t="str">
            <v>Fys</v>
          </cell>
          <cell r="F97" t="str">
            <v>Lata 350ml</v>
          </cell>
          <cell r="G97" t="str">
            <v>Tônica</v>
          </cell>
          <cell r="H97">
            <v>4.4162951360313754</v>
          </cell>
        </row>
        <row r="98">
          <cell r="D98">
            <v>904496</v>
          </cell>
          <cell r="E98" t="str">
            <v>Fys</v>
          </cell>
          <cell r="F98" t="str">
            <v>Lata 350ml</v>
          </cell>
          <cell r="G98" t="str">
            <v>Tônica Zero</v>
          </cell>
          <cell r="H98">
            <v>0</v>
          </cell>
        </row>
        <row r="99">
          <cell r="D99">
            <v>905283</v>
          </cell>
          <cell r="E99" t="str">
            <v>Fys</v>
          </cell>
          <cell r="F99" t="str">
            <v>Lata 350ml</v>
          </cell>
          <cell r="G99" t="str">
            <v>Guaraná Zero</v>
          </cell>
          <cell r="H99">
            <v>0</v>
          </cell>
        </row>
        <row r="100">
          <cell r="D100">
            <v>905282</v>
          </cell>
          <cell r="E100" t="str">
            <v>Fys</v>
          </cell>
          <cell r="F100" t="str">
            <v>Lata 350ml</v>
          </cell>
          <cell r="G100" t="str">
            <v>Limão Zero</v>
          </cell>
          <cell r="H100">
            <v>0</v>
          </cell>
        </row>
        <row r="101">
          <cell r="D101">
            <v>900525</v>
          </cell>
          <cell r="E101" t="str">
            <v>Itubaina</v>
          </cell>
          <cell r="F101" t="str">
            <v>Vidro 355ml</v>
          </cell>
          <cell r="G101" t="str">
            <v>Itubaína</v>
          </cell>
          <cell r="H101">
            <v>41.246942641968118</v>
          </cell>
        </row>
        <row r="102">
          <cell r="D102">
            <v>902321</v>
          </cell>
          <cell r="E102" t="str">
            <v>Itubaina</v>
          </cell>
          <cell r="F102" t="str">
            <v>Lata 350ml</v>
          </cell>
          <cell r="G102" t="str">
            <v>Itubaína</v>
          </cell>
          <cell r="H102">
            <v>64.157787441695859</v>
          </cell>
        </row>
        <row r="103">
          <cell r="D103">
            <v>903483</v>
          </cell>
          <cell r="E103" t="str">
            <v>Heineken</v>
          </cell>
          <cell r="F103" t="str">
            <v>Keg 5L</v>
          </cell>
          <cell r="G103" t="str">
            <v>Pilsen</v>
          </cell>
          <cell r="H103">
            <v>17.586072277748325</v>
          </cell>
        </row>
        <row r="104">
          <cell r="D104">
            <v>903480</v>
          </cell>
          <cell r="E104" t="str">
            <v>Heineken</v>
          </cell>
          <cell r="F104" t="str">
            <v>Vidro 600ml</v>
          </cell>
          <cell r="G104" t="str">
            <v>Pilsen</v>
          </cell>
          <cell r="H104">
            <v>6.762183540982452</v>
          </cell>
        </row>
        <row r="105">
          <cell r="D105">
            <v>903423</v>
          </cell>
          <cell r="E105" t="str">
            <v>Heineken</v>
          </cell>
          <cell r="F105" t="str">
            <v>Lata 350ml</v>
          </cell>
          <cell r="G105" t="str">
            <v>Pilsen</v>
          </cell>
          <cell r="H105">
            <v>0</v>
          </cell>
        </row>
        <row r="106">
          <cell r="D106">
            <v>904721</v>
          </cell>
          <cell r="E106" t="str">
            <v>Heineken</v>
          </cell>
          <cell r="F106" t="str">
            <v>Lata 269ml</v>
          </cell>
          <cell r="G106" t="str">
            <v>Pilsen</v>
          </cell>
          <cell r="H106">
            <v>437.12755182280694</v>
          </cell>
        </row>
        <row r="107">
          <cell r="D107">
            <v>903474</v>
          </cell>
          <cell r="E107" t="str">
            <v>Heineken</v>
          </cell>
          <cell r="F107" t="str">
            <v>Vidro 250ml</v>
          </cell>
          <cell r="G107" t="str">
            <v>Pilsen</v>
          </cell>
          <cell r="H107">
            <v>83.738063185513724</v>
          </cell>
        </row>
        <row r="108">
          <cell r="D108">
            <v>903478</v>
          </cell>
          <cell r="E108" t="str">
            <v>Heineken</v>
          </cell>
          <cell r="F108" t="str">
            <v>Vidro 330ml</v>
          </cell>
          <cell r="G108" t="str">
            <v>Pilsen</v>
          </cell>
          <cell r="H108">
            <v>99.846753061046087</v>
          </cell>
        </row>
        <row r="109">
          <cell r="D109">
            <v>903476</v>
          </cell>
          <cell r="E109" t="str">
            <v>Heineken</v>
          </cell>
          <cell r="F109" t="str">
            <v>Lata 250ml</v>
          </cell>
          <cell r="G109" t="str">
            <v>Pilsen</v>
          </cell>
          <cell r="H109">
            <v>0</v>
          </cell>
        </row>
        <row r="110">
          <cell r="D110">
            <v>904932</v>
          </cell>
          <cell r="E110" t="str">
            <v>Heineken</v>
          </cell>
          <cell r="F110" t="str">
            <v>Lata Sleek 350ml</v>
          </cell>
          <cell r="G110" t="str">
            <v>Pilsen</v>
          </cell>
          <cell r="H110">
            <v>325.2121428704549</v>
          </cell>
        </row>
        <row r="111">
          <cell r="D111">
            <v>904651</v>
          </cell>
          <cell r="E111" t="str">
            <v>Heineken</v>
          </cell>
          <cell r="F111" t="str">
            <v>Vidro 330ml Pry Off</v>
          </cell>
          <cell r="G111" t="str">
            <v>Pilsen</v>
          </cell>
          <cell r="H111">
            <v>0</v>
          </cell>
        </row>
        <row r="112">
          <cell r="D112">
            <v>903991</v>
          </cell>
          <cell r="E112" t="str">
            <v>Heineken 0.0%</v>
          </cell>
          <cell r="F112" t="str">
            <v>Lata 350ml</v>
          </cell>
          <cell r="G112" t="str">
            <v>Pilsen Zero</v>
          </cell>
          <cell r="H112">
            <v>0</v>
          </cell>
        </row>
        <row r="113">
          <cell r="D113">
            <v>904895</v>
          </cell>
          <cell r="E113" t="str">
            <v>Heineken 0.0%</v>
          </cell>
          <cell r="F113" t="str">
            <v>Lata 269ml</v>
          </cell>
          <cell r="G113" t="str">
            <v>Pilsen Zero</v>
          </cell>
          <cell r="H113">
            <v>20.055597303553984</v>
          </cell>
        </row>
        <row r="114">
          <cell r="D114">
            <v>903996</v>
          </cell>
          <cell r="E114" t="str">
            <v>Heineken 0.0%</v>
          </cell>
          <cell r="F114" t="str">
            <v>Vidro 330ml</v>
          </cell>
          <cell r="G114" t="str">
            <v>Pilsen Zero</v>
          </cell>
          <cell r="H114">
            <v>12.794931618213745</v>
          </cell>
        </row>
        <row r="115">
          <cell r="D115">
            <v>904961</v>
          </cell>
          <cell r="E115" t="str">
            <v>Heineken 0.0%</v>
          </cell>
          <cell r="F115" t="str">
            <v>Lata Sleek 350ml</v>
          </cell>
          <cell r="G115" t="str">
            <v>Pilsen Zero</v>
          </cell>
          <cell r="H115">
            <v>0</v>
          </cell>
        </row>
        <row r="116">
          <cell r="D116">
            <v>905072</v>
          </cell>
          <cell r="E116" t="str">
            <v>Amstel Vibes</v>
          </cell>
          <cell r="F116" t="str">
            <v>Lata 269ml</v>
          </cell>
          <cell r="G116" t="str">
            <v>Limão</v>
          </cell>
          <cell r="H116">
            <v>0</v>
          </cell>
        </row>
        <row r="117">
          <cell r="D117">
            <v>905073</v>
          </cell>
          <cell r="E117" t="str">
            <v>Amstel Vibes</v>
          </cell>
          <cell r="F117" t="str">
            <v>Lata 269ml</v>
          </cell>
          <cell r="G117" t="str">
            <v>Melancia E Morango</v>
          </cell>
          <cell r="H117">
            <v>0</v>
          </cell>
        </row>
        <row r="118">
          <cell r="D118">
            <v>903741</v>
          </cell>
          <cell r="E118" t="str">
            <v>Eisenbahn</v>
          </cell>
          <cell r="F118" t="str">
            <v>Vidro 355ml</v>
          </cell>
          <cell r="G118" t="str">
            <v>India Pale Ale</v>
          </cell>
          <cell r="H118">
            <v>2.5618865880451893</v>
          </cell>
        </row>
        <row r="119">
          <cell r="D119">
            <v>902544</v>
          </cell>
          <cell r="E119" t="str">
            <v>Eisenbahn</v>
          </cell>
          <cell r="F119" t="str">
            <v>Vidro 355ml</v>
          </cell>
          <cell r="G119" t="str">
            <v>Pale Ale</v>
          </cell>
          <cell r="H119">
            <v>3.0495084840193174</v>
          </cell>
        </row>
        <row r="120">
          <cell r="D120">
            <v>904513</v>
          </cell>
          <cell r="E120" t="str">
            <v>Eisenbahn</v>
          </cell>
          <cell r="F120" t="str">
            <v>Vidro 355ml</v>
          </cell>
          <cell r="G120" t="str">
            <v>Session Ipa</v>
          </cell>
          <cell r="H120">
            <v>1.1343039995244306</v>
          </cell>
        </row>
        <row r="121">
          <cell r="D121">
            <v>902581</v>
          </cell>
          <cell r="E121" t="str">
            <v>Eisenbahn</v>
          </cell>
          <cell r="F121" t="str">
            <v>Vidro 355ml</v>
          </cell>
          <cell r="G121" t="str">
            <v>Weizenbier</v>
          </cell>
          <cell r="H121">
            <v>1.0122191487168122</v>
          </cell>
        </row>
        <row r="122">
          <cell r="D122">
            <v>903681</v>
          </cell>
          <cell r="E122" t="str">
            <v>Eisenbahn</v>
          </cell>
          <cell r="F122" t="str">
            <v>Lata 350ml</v>
          </cell>
          <cell r="G122" t="str">
            <v>India Pale Ale</v>
          </cell>
          <cell r="H122">
            <v>3.4499878497756611</v>
          </cell>
        </row>
        <row r="123">
          <cell r="D123">
            <v>903683</v>
          </cell>
          <cell r="E123" t="str">
            <v>Eisenbahn</v>
          </cell>
          <cell r="F123" t="str">
            <v>Lata 350ml</v>
          </cell>
          <cell r="G123" t="str">
            <v>Pale Ale</v>
          </cell>
          <cell r="H123">
            <v>2.3922749431481458</v>
          </cell>
        </row>
        <row r="124">
          <cell r="D124">
            <v>904508</v>
          </cell>
          <cell r="E124" t="str">
            <v>Bavaria</v>
          </cell>
          <cell r="F124" t="str">
            <v>Lata 350ml</v>
          </cell>
          <cell r="G124" t="str">
            <v>Pilsen</v>
          </cell>
          <cell r="H124">
            <v>12.886203734312179</v>
          </cell>
        </row>
        <row r="125">
          <cell r="D125">
            <v>903382</v>
          </cell>
          <cell r="E125" t="str">
            <v>Bavaria</v>
          </cell>
          <cell r="F125" t="str">
            <v>Lata 473ml</v>
          </cell>
          <cell r="G125" t="str">
            <v>Pilsen</v>
          </cell>
          <cell r="H125">
            <v>0</v>
          </cell>
        </row>
        <row r="126">
          <cell r="D126">
            <v>904791</v>
          </cell>
          <cell r="E126" t="str">
            <v>Tiger</v>
          </cell>
          <cell r="F126" t="str">
            <v>Lata 350ml</v>
          </cell>
          <cell r="G126" t="str">
            <v>Lager</v>
          </cell>
          <cell r="H126">
            <v>0</v>
          </cell>
        </row>
        <row r="127">
          <cell r="D127">
            <v>904542</v>
          </cell>
          <cell r="E127" t="str">
            <v>Eisenbahn</v>
          </cell>
          <cell r="F127" t="str">
            <v>Vidro 600ml</v>
          </cell>
          <cell r="G127" t="str">
            <v>Pilsen</v>
          </cell>
          <cell r="H127">
            <v>0</v>
          </cell>
        </row>
        <row r="128">
          <cell r="D128">
            <v>901781</v>
          </cell>
          <cell r="E128" t="str">
            <v>Eisenbahn</v>
          </cell>
          <cell r="F128" t="str">
            <v>Vidro 355ml</v>
          </cell>
          <cell r="G128" t="str">
            <v>Pilsen</v>
          </cell>
          <cell r="H128">
            <v>4.0030539728666259</v>
          </cell>
        </row>
        <row r="129">
          <cell r="D129">
            <v>903750</v>
          </cell>
          <cell r="E129" t="str">
            <v>Eisenbahn</v>
          </cell>
          <cell r="F129" t="str">
            <v>Lata 350ml</v>
          </cell>
          <cell r="G129" t="str">
            <v>Pilsen</v>
          </cell>
          <cell r="H129">
            <v>23.414186405409151</v>
          </cell>
        </row>
        <row r="130">
          <cell r="D130">
            <v>904194</v>
          </cell>
          <cell r="E130" t="str">
            <v>Eisenbahn</v>
          </cell>
          <cell r="F130" t="str">
            <v>Lata 269ml</v>
          </cell>
          <cell r="G130" t="str">
            <v>Pilsen</v>
          </cell>
          <cell r="H130">
            <v>199.67895507682701</v>
          </cell>
        </row>
        <row r="131">
          <cell r="D131">
            <v>904771</v>
          </cell>
          <cell r="E131" t="str">
            <v>Eisenbahn Unfiltered</v>
          </cell>
          <cell r="F131" t="str">
            <v>Vidro 355ml</v>
          </cell>
          <cell r="G131" t="str">
            <v>Pilsen Unfiltered</v>
          </cell>
          <cell r="H131">
            <v>0.68747645282782555</v>
          </cell>
        </row>
        <row r="132">
          <cell r="D132">
            <v>904772</v>
          </cell>
          <cell r="E132" t="str">
            <v>Eisenbahn Unfiltered</v>
          </cell>
          <cell r="F132" t="str">
            <v>Lata 350ml</v>
          </cell>
          <cell r="G132" t="str">
            <v>Pilsen Unfiltered</v>
          </cell>
          <cell r="H132">
            <v>2.3007908018981258</v>
          </cell>
        </row>
        <row r="133">
          <cell r="D133">
            <v>903464</v>
          </cell>
          <cell r="E133" t="str">
            <v>Sol Premium</v>
          </cell>
          <cell r="F133" t="str">
            <v>Vidro 330ml</v>
          </cell>
          <cell r="G133" t="str">
            <v>Pilsen</v>
          </cell>
          <cell r="H133">
            <v>0</v>
          </cell>
        </row>
        <row r="134">
          <cell r="D134">
            <v>903741</v>
          </cell>
          <cell r="E134" t="str">
            <v>Eisenbahn</v>
          </cell>
          <cell r="F134" t="str">
            <v>Vidro 355ml</v>
          </cell>
          <cell r="G134" t="str">
            <v>India Pale Ale</v>
          </cell>
          <cell r="H134">
            <v>0.569808316481206</v>
          </cell>
        </row>
        <row r="135">
          <cell r="D135">
            <v>902544</v>
          </cell>
          <cell r="E135" t="str">
            <v>Eisenbahn</v>
          </cell>
          <cell r="F135" t="str">
            <v>Vidro 355ml</v>
          </cell>
          <cell r="G135" t="str">
            <v>Pale Ale</v>
          </cell>
          <cell r="H135">
            <v>0.10449135178457715</v>
          </cell>
        </row>
        <row r="136">
          <cell r="D136">
            <v>904513</v>
          </cell>
          <cell r="E136" t="str">
            <v>Eisenbahn</v>
          </cell>
          <cell r="F136" t="str">
            <v>Vidro 355ml</v>
          </cell>
          <cell r="G136" t="str">
            <v>Session Ipa</v>
          </cell>
          <cell r="H136">
            <v>0.19139457808351229</v>
          </cell>
        </row>
        <row r="137">
          <cell r="D137">
            <v>902581</v>
          </cell>
          <cell r="E137" t="str">
            <v>Eisenbahn</v>
          </cell>
          <cell r="F137" t="str">
            <v>Vidro 355ml</v>
          </cell>
          <cell r="G137" t="str">
            <v>Weizenbier</v>
          </cell>
          <cell r="H137">
            <v>0.19562226018886666</v>
          </cell>
        </row>
        <row r="138">
          <cell r="D138">
            <v>903681</v>
          </cell>
          <cell r="E138" t="str">
            <v>Eisenbahn</v>
          </cell>
          <cell r="F138" t="str">
            <v>Lata 350ml</v>
          </cell>
          <cell r="G138" t="str">
            <v>India Pale Ale</v>
          </cell>
          <cell r="H138">
            <v>0.16401386420999176</v>
          </cell>
        </row>
        <row r="139">
          <cell r="D139">
            <v>903683</v>
          </cell>
          <cell r="E139" t="str">
            <v>Eisenbahn</v>
          </cell>
          <cell r="F139" t="str">
            <v>Lata 350ml</v>
          </cell>
          <cell r="G139" t="str">
            <v>Pale Ale</v>
          </cell>
          <cell r="H139">
            <v>3.5279660553706807E-2</v>
          </cell>
        </row>
        <row r="140">
          <cell r="D140">
            <v>904773</v>
          </cell>
          <cell r="E140" t="str">
            <v>Eisenbahn</v>
          </cell>
          <cell r="F140" t="str">
            <v>Lata 350ml</v>
          </cell>
          <cell r="G140" t="str">
            <v>Session Ipa</v>
          </cell>
          <cell r="H140">
            <v>0.19590665701837845</v>
          </cell>
        </row>
        <row r="141">
          <cell r="D141">
            <v>904508</v>
          </cell>
          <cell r="E141" t="str">
            <v>Bavaria</v>
          </cell>
          <cell r="F141" t="str">
            <v>Lata 350ml</v>
          </cell>
          <cell r="G141" t="str">
            <v>Pilsen</v>
          </cell>
          <cell r="H141">
            <v>0.71826983260738242</v>
          </cell>
        </row>
        <row r="142">
          <cell r="D142">
            <v>904791</v>
          </cell>
          <cell r="E142" t="str">
            <v>Tiger</v>
          </cell>
          <cell r="F142" t="str">
            <v>Lata 350ml</v>
          </cell>
          <cell r="G142" t="str">
            <v>Lager</v>
          </cell>
          <cell r="H142">
            <v>0</v>
          </cell>
        </row>
        <row r="143">
          <cell r="D143">
            <v>904542</v>
          </cell>
          <cell r="E143" t="str">
            <v>Eisenbahn</v>
          </cell>
          <cell r="F143" t="str">
            <v>Vidro 600ml</v>
          </cell>
          <cell r="G143" t="str">
            <v>Pilsen</v>
          </cell>
          <cell r="H143">
            <v>0</v>
          </cell>
        </row>
        <row r="144">
          <cell r="D144">
            <v>901781</v>
          </cell>
          <cell r="E144" t="str">
            <v>Eisenbahn</v>
          </cell>
          <cell r="F144" t="str">
            <v>Vidro 355ml</v>
          </cell>
          <cell r="G144" t="str">
            <v>Pilsen</v>
          </cell>
          <cell r="H144">
            <v>0.88181589996960541</v>
          </cell>
        </row>
        <row r="145">
          <cell r="D145">
            <v>903750</v>
          </cell>
          <cell r="E145" t="str">
            <v>Eisenbahn</v>
          </cell>
          <cell r="F145" t="str">
            <v>Lata 350ml</v>
          </cell>
          <cell r="G145" t="str">
            <v>Pilsen</v>
          </cell>
          <cell r="H145">
            <v>0</v>
          </cell>
        </row>
        <row r="146">
          <cell r="D146">
            <v>904194</v>
          </cell>
          <cell r="E146" t="str">
            <v>Eisenbahn</v>
          </cell>
          <cell r="F146" t="str">
            <v>Lata 269ml</v>
          </cell>
          <cell r="G146" t="str">
            <v>Pilsen</v>
          </cell>
          <cell r="H146">
            <v>0.22430336236691797</v>
          </cell>
        </row>
        <row r="147">
          <cell r="D147">
            <v>904771</v>
          </cell>
          <cell r="E147" t="str">
            <v>Eisenbahn Unfiltered</v>
          </cell>
          <cell r="F147" t="str">
            <v>Vidro 355ml</v>
          </cell>
          <cell r="G147" t="str">
            <v>Pilsen Unfiltered</v>
          </cell>
          <cell r="H147">
            <v>0.10748123734108737</v>
          </cell>
        </row>
        <row r="148">
          <cell r="D148">
            <v>904772</v>
          </cell>
          <cell r="E148" t="str">
            <v>Eisenbahn Unfiltered</v>
          </cell>
          <cell r="F148" t="str">
            <v>Lata 350ml</v>
          </cell>
          <cell r="G148" t="str">
            <v>Pilsen Unfiltered</v>
          </cell>
          <cell r="H148">
            <v>0.62773856728457844</v>
          </cell>
        </row>
        <row r="149">
          <cell r="D149">
            <v>903464</v>
          </cell>
          <cell r="E149" t="str">
            <v>Sol Premium</v>
          </cell>
          <cell r="F149" t="str">
            <v>Vidro 330ml</v>
          </cell>
          <cell r="G149" t="str">
            <v>Pilsen</v>
          </cell>
          <cell r="H149">
            <v>0</v>
          </cell>
        </row>
        <row r="150">
          <cell r="D150">
            <v>904602</v>
          </cell>
          <cell r="E150" t="str">
            <v>Blue Moon</v>
          </cell>
          <cell r="F150" t="str">
            <v>Vidro 355ml</v>
          </cell>
          <cell r="G150" t="str">
            <v>Witbier</v>
          </cell>
          <cell r="H150">
            <v>10.535367425066275</v>
          </cell>
        </row>
        <row r="151">
          <cell r="D151">
            <v>904612</v>
          </cell>
          <cell r="E151" t="str">
            <v>Blue Moon</v>
          </cell>
          <cell r="F151" t="str">
            <v>Lata 350ml</v>
          </cell>
          <cell r="G151" t="str">
            <v>Witbier</v>
          </cell>
          <cell r="H151">
            <v>17.244648243306951</v>
          </cell>
        </row>
        <row r="152">
          <cell r="D152">
            <v>903741</v>
          </cell>
          <cell r="E152" t="str">
            <v>Eisenbahn</v>
          </cell>
          <cell r="F152" t="str">
            <v>Vidro 355ml</v>
          </cell>
          <cell r="G152" t="str">
            <v>India Pale Ale</v>
          </cell>
          <cell r="H152">
            <v>0</v>
          </cell>
        </row>
        <row r="153">
          <cell r="D153">
            <v>902544</v>
          </cell>
          <cell r="E153" t="str">
            <v>Eisenbahn</v>
          </cell>
          <cell r="F153" t="str">
            <v>Vidro 355ml</v>
          </cell>
          <cell r="G153" t="str">
            <v>Pale Ale</v>
          </cell>
          <cell r="H153">
            <v>0</v>
          </cell>
        </row>
        <row r="154">
          <cell r="D154">
            <v>904513</v>
          </cell>
          <cell r="E154" t="str">
            <v>Eisenbahn</v>
          </cell>
          <cell r="F154" t="str">
            <v>Vidro 355ml</v>
          </cell>
          <cell r="G154" t="str">
            <v>Session Ipa</v>
          </cell>
          <cell r="H154">
            <v>1.172653238241228</v>
          </cell>
        </row>
        <row r="155">
          <cell r="D155">
            <v>904741</v>
          </cell>
          <cell r="E155" t="str">
            <v>Eisenbahn</v>
          </cell>
          <cell r="F155" t="str">
            <v>Vidro 355ml</v>
          </cell>
          <cell r="G155" t="str">
            <v>Viena Lager</v>
          </cell>
          <cell r="H155">
            <v>0</v>
          </cell>
        </row>
        <row r="156">
          <cell r="D156">
            <v>902581</v>
          </cell>
          <cell r="E156" t="str">
            <v>Eisenbahn</v>
          </cell>
          <cell r="F156" t="str">
            <v>Vidro 355ml</v>
          </cell>
          <cell r="G156" t="str">
            <v>Weizenbier</v>
          </cell>
          <cell r="H156">
            <v>0</v>
          </cell>
        </row>
        <row r="157">
          <cell r="D157">
            <v>903681</v>
          </cell>
          <cell r="E157" t="str">
            <v>Eisenbahn</v>
          </cell>
          <cell r="F157" t="str">
            <v>Lata 350ml</v>
          </cell>
          <cell r="G157" t="str">
            <v>India Pale Ale</v>
          </cell>
          <cell r="H157">
            <v>0</v>
          </cell>
        </row>
        <row r="158">
          <cell r="D158">
            <v>903683</v>
          </cell>
          <cell r="E158" t="str">
            <v>Eisenbahn</v>
          </cell>
          <cell r="F158" t="str">
            <v>Lata 350ml</v>
          </cell>
          <cell r="G158" t="str">
            <v>Pale Ale</v>
          </cell>
          <cell r="H158">
            <v>2.371104368430021</v>
          </cell>
        </row>
        <row r="159">
          <cell r="D159">
            <v>903901</v>
          </cell>
          <cell r="E159" t="str">
            <v>Lagunitas</v>
          </cell>
          <cell r="F159" t="str">
            <v>Vidro 355ml</v>
          </cell>
          <cell r="G159" t="str">
            <v>India Pale Ale</v>
          </cell>
          <cell r="H159">
            <v>6.3449151189016346</v>
          </cell>
        </row>
        <row r="160">
          <cell r="D160">
            <v>904782</v>
          </cell>
          <cell r="E160" t="str">
            <v>Lagunitas</v>
          </cell>
          <cell r="F160" t="str">
            <v>Lata 350ml</v>
          </cell>
          <cell r="G160" t="str">
            <v>India Pale Ale</v>
          </cell>
          <cell r="H160">
            <v>20.521397550544499</v>
          </cell>
        </row>
        <row r="161">
          <cell r="D161">
            <v>900118</v>
          </cell>
          <cell r="E161" t="str">
            <v>Baden - Baden</v>
          </cell>
          <cell r="F161" t="str">
            <v>Vidro 600ml</v>
          </cell>
          <cell r="G161" t="str">
            <v>Ale Golden</v>
          </cell>
          <cell r="H161">
            <v>6.8021711604534687</v>
          </cell>
        </row>
        <row r="162">
          <cell r="D162">
            <v>902832</v>
          </cell>
          <cell r="E162" t="str">
            <v>Baden - Baden</v>
          </cell>
          <cell r="F162" t="str">
            <v>Vidro 600ml</v>
          </cell>
          <cell r="G162" t="str">
            <v>India Pale Ale</v>
          </cell>
          <cell r="H162">
            <v>6.3073874933608183</v>
          </cell>
        </row>
        <row r="163">
          <cell r="D163">
            <v>904742</v>
          </cell>
          <cell r="E163" t="str">
            <v>Baden - Baden</v>
          </cell>
          <cell r="F163" t="str">
            <v>Vidro 600ml</v>
          </cell>
          <cell r="G163" t="str">
            <v>Peach</v>
          </cell>
          <cell r="H163">
            <v>6.9924560865908436</v>
          </cell>
        </row>
        <row r="164">
          <cell r="D164">
            <v>900109</v>
          </cell>
          <cell r="E164" t="str">
            <v>Baden - Baden</v>
          </cell>
          <cell r="F164" t="str">
            <v>Vidro 600ml</v>
          </cell>
          <cell r="G164" t="str">
            <v>Pilsen Cristal</v>
          </cell>
          <cell r="H164">
            <v>7.3373922296313898</v>
          </cell>
        </row>
        <row r="165">
          <cell r="D165">
            <v>901162</v>
          </cell>
          <cell r="E165" t="str">
            <v>Baden - Baden</v>
          </cell>
          <cell r="F165" t="str">
            <v>Vidro 600ml</v>
          </cell>
          <cell r="G165" t="str">
            <v>Witbier</v>
          </cell>
          <cell r="H165">
            <v>7.7801668829593895</v>
          </cell>
        </row>
        <row r="166">
          <cell r="D166">
            <v>904831</v>
          </cell>
          <cell r="E166" t="str">
            <v>Baden - Baden</v>
          </cell>
          <cell r="F166" t="str">
            <v>Lata 350ml</v>
          </cell>
          <cell r="G166" t="str">
            <v>Ale Golden</v>
          </cell>
          <cell r="H166">
            <v>0</v>
          </cell>
        </row>
        <row r="167">
          <cell r="D167">
            <v>904451</v>
          </cell>
          <cell r="E167" t="str">
            <v>Baden - Baden</v>
          </cell>
          <cell r="F167" t="str">
            <v>Lata 350ml</v>
          </cell>
          <cell r="G167" t="str">
            <v>India Pale Ale</v>
          </cell>
          <cell r="H167">
            <v>6.6584417190247764</v>
          </cell>
        </row>
        <row r="168">
          <cell r="D168">
            <v>904743</v>
          </cell>
          <cell r="E168" t="str">
            <v>Baden - Baden</v>
          </cell>
          <cell r="F168" t="str">
            <v>Lata 350ml</v>
          </cell>
          <cell r="G168" t="str">
            <v>Peach</v>
          </cell>
          <cell r="H168">
            <v>10.5457437502087</v>
          </cell>
        </row>
        <row r="169">
          <cell r="D169">
            <v>904441</v>
          </cell>
          <cell r="E169" t="str">
            <v>Baden - Baden</v>
          </cell>
          <cell r="F169" t="str">
            <v>Lata 350ml</v>
          </cell>
          <cell r="G169" t="str">
            <v>Pilsen Cristal</v>
          </cell>
          <cell r="H169">
            <v>44.82712965338645</v>
          </cell>
        </row>
        <row r="170">
          <cell r="D170">
            <v>904193</v>
          </cell>
          <cell r="E170" t="str">
            <v>Baden - Baden</v>
          </cell>
          <cell r="F170" t="str">
            <v>Lata 350ml</v>
          </cell>
          <cell r="G170" t="str">
            <v>Witbier</v>
          </cell>
          <cell r="H170">
            <v>12.547777096737587</v>
          </cell>
        </row>
        <row r="171">
          <cell r="D171">
            <v>904508</v>
          </cell>
          <cell r="E171" t="str">
            <v>Bavaria</v>
          </cell>
          <cell r="F171" t="str">
            <v>Lata 350ml</v>
          </cell>
          <cell r="G171" t="str">
            <v>Pilsen</v>
          </cell>
          <cell r="H171">
            <v>0</v>
          </cell>
        </row>
        <row r="172">
          <cell r="D172">
            <v>903382</v>
          </cell>
          <cell r="E172" t="str">
            <v>Bavaria</v>
          </cell>
          <cell r="F172" t="str">
            <v>Lata 473ml</v>
          </cell>
          <cell r="G172" t="str">
            <v>Pilsen</v>
          </cell>
          <cell r="H172">
            <v>0</v>
          </cell>
        </row>
        <row r="173">
          <cell r="D173">
            <v>903394</v>
          </cell>
          <cell r="E173" t="str">
            <v>Kaiser</v>
          </cell>
          <cell r="F173" t="str">
            <v>Lata 350ml</v>
          </cell>
          <cell r="G173" t="str">
            <v>Lager</v>
          </cell>
          <cell r="H173">
            <v>0</v>
          </cell>
        </row>
        <row r="174">
          <cell r="D174">
            <v>902406</v>
          </cell>
          <cell r="E174" t="str">
            <v>Schin</v>
          </cell>
          <cell r="F174" t="str">
            <v>Lata 350ml</v>
          </cell>
          <cell r="G174" t="str">
            <v>Pilsen</v>
          </cell>
          <cell r="H174">
            <v>0</v>
          </cell>
        </row>
        <row r="175">
          <cell r="D175">
            <v>902410</v>
          </cell>
          <cell r="E175" t="str">
            <v>Schin</v>
          </cell>
          <cell r="F175" t="str">
            <v>Lata 473ml</v>
          </cell>
          <cell r="G175" t="str">
            <v>Pilsen</v>
          </cell>
          <cell r="H175">
            <v>0</v>
          </cell>
        </row>
        <row r="176">
          <cell r="D176">
            <v>904791</v>
          </cell>
          <cell r="E176" t="str">
            <v>Tiger</v>
          </cell>
          <cell r="F176" t="str">
            <v>Lata 350ml</v>
          </cell>
          <cell r="G176" t="str">
            <v>Lager</v>
          </cell>
          <cell r="H176">
            <v>0</v>
          </cell>
        </row>
        <row r="177">
          <cell r="D177">
            <v>905052</v>
          </cell>
          <cell r="E177" t="str">
            <v>Amstel</v>
          </cell>
          <cell r="F177" t="str">
            <v>Vidro 355ml</v>
          </cell>
          <cell r="G177" t="str">
            <v>Lager</v>
          </cell>
          <cell r="H177">
            <v>52.599427006518503</v>
          </cell>
        </row>
        <row r="178">
          <cell r="D178">
            <v>904505</v>
          </cell>
          <cell r="E178" t="str">
            <v>Amstel</v>
          </cell>
          <cell r="F178" t="str">
            <v>Lata 350ml</v>
          </cell>
          <cell r="G178" t="str">
            <v>Lager</v>
          </cell>
          <cell r="H178">
            <v>0</v>
          </cell>
        </row>
        <row r="179">
          <cell r="D179">
            <v>904113</v>
          </cell>
          <cell r="E179" t="str">
            <v>Amstel</v>
          </cell>
          <cell r="F179" t="str">
            <v>Lata 269ml</v>
          </cell>
          <cell r="G179" t="str">
            <v>Lager</v>
          </cell>
          <cell r="H179">
            <v>790.75319522892073</v>
          </cell>
        </row>
        <row r="180">
          <cell r="D180">
            <v>904952</v>
          </cell>
          <cell r="E180" t="str">
            <v>Amstel</v>
          </cell>
          <cell r="F180" t="str">
            <v>Lata Sleek 350ml</v>
          </cell>
          <cell r="G180" t="str">
            <v>Lager</v>
          </cell>
          <cell r="H180">
            <v>993.54614171711421</v>
          </cell>
        </row>
        <row r="181">
          <cell r="D181">
            <v>904632</v>
          </cell>
          <cell r="E181" t="str">
            <v>Amstel Ultra</v>
          </cell>
          <cell r="F181" t="str">
            <v>Lata 269ml</v>
          </cell>
          <cell r="G181" t="str">
            <v>Lager</v>
          </cell>
          <cell r="H181">
            <v>60.449346492070646</v>
          </cell>
        </row>
        <row r="182">
          <cell r="D182">
            <v>904631</v>
          </cell>
          <cell r="E182" t="str">
            <v>Amstel Ultra</v>
          </cell>
          <cell r="F182" t="str">
            <v>Vidro 275ml</v>
          </cell>
          <cell r="G182" t="str">
            <v>Lager</v>
          </cell>
          <cell r="H182">
            <v>84.588384593956363</v>
          </cell>
        </row>
        <row r="183">
          <cell r="D183">
            <v>903131</v>
          </cell>
          <cell r="E183" t="str">
            <v>Devassa</v>
          </cell>
          <cell r="F183" t="str">
            <v>Lata 350ml</v>
          </cell>
          <cell r="G183" t="str">
            <v>Lager</v>
          </cell>
          <cell r="H183">
            <v>0</v>
          </cell>
        </row>
        <row r="184">
          <cell r="D184">
            <v>903791</v>
          </cell>
          <cell r="E184" t="str">
            <v>Fys</v>
          </cell>
          <cell r="F184" t="str">
            <v>Lata 350ml</v>
          </cell>
          <cell r="G184" t="str">
            <v>Guaraná</v>
          </cell>
          <cell r="H184">
            <v>24.3398635779667</v>
          </cell>
        </row>
        <row r="185">
          <cell r="D185">
            <v>903793</v>
          </cell>
          <cell r="E185" t="str">
            <v>Fys</v>
          </cell>
          <cell r="F185" t="str">
            <v>Lata 350ml</v>
          </cell>
          <cell r="G185" t="str">
            <v>Laranja</v>
          </cell>
          <cell r="H185">
            <v>34.833453070640644</v>
          </cell>
        </row>
        <row r="186">
          <cell r="D186">
            <v>903795</v>
          </cell>
          <cell r="E186" t="str">
            <v>Fys</v>
          </cell>
          <cell r="F186" t="str">
            <v>Lata 350ml</v>
          </cell>
          <cell r="G186" t="str">
            <v>Limão</v>
          </cell>
          <cell r="H186">
            <v>42.226190039690785</v>
          </cell>
        </row>
        <row r="187">
          <cell r="D187">
            <v>903797</v>
          </cell>
          <cell r="E187" t="str">
            <v>Fys</v>
          </cell>
          <cell r="F187" t="str">
            <v>Lata 350ml</v>
          </cell>
          <cell r="G187" t="str">
            <v>Tônica</v>
          </cell>
          <cell r="H187">
            <v>17.663709916374572</v>
          </cell>
        </row>
        <row r="188">
          <cell r="D188">
            <v>904496</v>
          </cell>
          <cell r="E188" t="str">
            <v>Fys</v>
          </cell>
          <cell r="F188" t="str">
            <v>Lata 350ml</v>
          </cell>
          <cell r="G188" t="str">
            <v>Tônica Zero</v>
          </cell>
          <cell r="H188">
            <v>40.234170000558258</v>
          </cell>
        </row>
        <row r="189">
          <cell r="D189">
            <v>905283</v>
          </cell>
          <cell r="E189" t="str">
            <v>Fys</v>
          </cell>
          <cell r="F189" t="str">
            <v>Lata 350ml</v>
          </cell>
          <cell r="G189" t="str">
            <v>Guaraná Zero</v>
          </cell>
          <cell r="H189">
            <v>0</v>
          </cell>
        </row>
        <row r="190">
          <cell r="D190">
            <v>905282</v>
          </cell>
          <cell r="E190" t="str">
            <v>Fys</v>
          </cell>
          <cell r="F190" t="str">
            <v>Lata 350ml</v>
          </cell>
          <cell r="G190" t="str">
            <v>Limão Zero</v>
          </cell>
          <cell r="H190">
            <v>0</v>
          </cell>
        </row>
        <row r="191">
          <cell r="D191">
            <v>903318</v>
          </cell>
          <cell r="E191" t="str">
            <v>Itubaina</v>
          </cell>
          <cell r="F191" t="str">
            <v>Pet 500ml</v>
          </cell>
          <cell r="G191" t="str">
            <v>Itubaína</v>
          </cell>
          <cell r="H191">
            <v>297.96936778893121</v>
          </cell>
        </row>
        <row r="192">
          <cell r="D192">
            <v>900525</v>
          </cell>
          <cell r="E192" t="str">
            <v>Itubaina</v>
          </cell>
          <cell r="F192" t="str">
            <v>Vidro 355ml</v>
          </cell>
          <cell r="G192" t="str">
            <v>Itubaína</v>
          </cell>
          <cell r="H192">
            <v>143.74470823371411</v>
          </cell>
        </row>
        <row r="193">
          <cell r="D193">
            <v>902321</v>
          </cell>
          <cell r="E193" t="str">
            <v>Itubaina</v>
          </cell>
          <cell r="F193" t="str">
            <v>Lata 350ml</v>
          </cell>
          <cell r="G193" t="str">
            <v>Itubaína</v>
          </cell>
          <cell r="H193">
            <v>335.36928141956548</v>
          </cell>
        </row>
        <row r="194">
          <cell r="D194">
            <v>904542</v>
          </cell>
          <cell r="E194" t="str">
            <v>Eisenbahn</v>
          </cell>
          <cell r="F194" t="str">
            <v>Vidro 600ml</v>
          </cell>
          <cell r="G194" t="str">
            <v>Pilsen</v>
          </cell>
          <cell r="H194">
            <v>0</v>
          </cell>
        </row>
        <row r="195">
          <cell r="D195">
            <v>901781</v>
          </cell>
          <cell r="E195" t="str">
            <v>Eisenbahn</v>
          </cell>
          <cell r="F195" t="str">
            <v>Vidro 355ml</v>
          </cell>
          <cell r="G195" t="str">
            <v>Pilsen</v>
          </cell>
          <cell r="H195">
            <v>21.44763647464605</v>
          </cell>
        </row>
        <row r="196">
          <cell r="D196">
            <v>903750</v>
          </cell>
          <cell r="E196" t="str">
            <v>Eisenbahn</v>
          </cell>
          <cell r="F196" t="str">
            <v>Lata 350ml</v>
          </cell>
          <cell r="G196" t="str">
            <v>Pilsen</v>
          </cell>
          <cell r="H196">
            <v>50.810275036537817</v>
          </cell>
        </row>
        <row r="197">
          <cell r="D197">
            <v>904194</v>
          </cell>
          <cell r="E197" t="str">
            <v>Eisenbahn</v>
          </cell>
          <cell r="F197" t="str">
            <v>Lata 269ml</v>
          </cell>
          <cell r="G197" t="str">
            <v>Pilsen</v>
          </cell>
          <cell r="H197">
            <v>21.937414695663801</v>
          </cell>
        </row>
        <row r="198">
          <cell r="D198">
            <v>904771</v>
          </cell>
          <cell r="E198" t="str">
            <v>Eisenbahn Unfiltered</v>
          </cell>
          <cell r="F198" t="str">
            <v>Vidro 355ml</v>
          </cell>
          <cell r="G198" t="str">
            <v>Pilsen Unfiltered</v>
          </cell>
          <cell r="H198">
            <v>6.1066677201951354</v>
          </cell>
        </row>
        <row r="199">
          <cell r="D199">
            <v>904772</v>
          </cell>
          <cell r="E199" t="str">
            <v>Eisenbahn Unfiltered</v>
          </cell>
          <cell r="F199" t="str">
            <v>Lata 350ml</v>
          </cell>
          <cell r="G199" t="str">
            <v>Pilsen Unfiltered</v>
          </cell>
          <cell r="H199">
            <v>19.298808879253698</v>
          </cell>
        </row>
        <row r="200">
          <cell r="D200">
            <v>903483</v>
          </cell>
          <cell r="E200" t="str">
            <v>Heineken</v>
          </cell>
          <cell r="F200" t="str">
            <v>Keg 5L</v>
          </cell>
          <cell r="G200" t="str">
            <v>Pilsen</v>
          </cell>
          <cell r="H200">
            <v>723.22722242239979</v>
          </cell>
        </row>
        <row r="201">
          <cell r="D201">
            <v>903480</v>
          </cell>
          <cell r="E201" t="str">
            <v>Heineken</v>
          </cell>
          <cell r="F201" t="str">
            <v>Vidro 600ml</v>
          </cell>
          <cell r="G201" t="str">
            <v>Pilsen</v>
          </cell>
          <cell r="H201">
            <v>82.27323308195318</v>
          </cell>
        </row>
        <row r="202">
          <cell r="D202">
            <v>903423</v>
          </cell>
          <cell r="E202" t="str">
            <v>Heineken</v>
          </cell>
          <cell r="F202" t="str">
            <v>Lata 350ml</v>
          </cell>
          <cell r="G202" t="str">
            <v>Pilsen</v>
          </cell>
          <cell r="H202">
            <v>0</v>
          </cell>
        </row>
        <row r="203">
          <cell r="D203">
            <v>904721</v>
          </cell>
          <cell r="E203" t="str">
            <v>Heineken</v>
          </cell>
          <cell r="F203" t="str">
            <v>Lata 269ml</v>
          </cell>
          <cell r="G203" t="str">
            <v>Pilsen</v>
          </cell>
          <cell r="H203">
            <v>1263.8838232037692</v>
          </cell>
        </row>
        <row r="204">
          <cell r="D204">
            <v>903474</v>
          </cell>
          <cell r="E204" t="str">
            <v>Heineken</v>
          </cell>
          <cell r="F204" t="str">
            <v>Vidro 250ml</v>
          </cell>
          <cell r="G204" t="str">
            <v>Pilsen</v>
          </cell>
          <cell r="H204">
            <v>300.36479186108187</v>
          </cell>
        </row>
        <row r="205">
          <cell r="D205">
            <v>903478</v>
          </cell>
          <cell r="E205" t="str">
            <v>Heineken</v>
          </cell>
          <cell r="F205" t="str">
            <v>Vidro 330ml</v>
          </cell>
          <cell r="G205" t="str">
            <v>Pilsen</v>
          </cell>
          <cell r="H205">
            <v>1157.430699369967</v>
          </cell>
        </row>
        <row r="206">
          <cell r="D206">
            <v>903476</v>
          </cell>
          <cell r="E206" t="str">
            <v>Heineken</v>
          </cell>
          <cell r="F206" t="str">
            <v>Lata 250ml</v>
          </cell>
          <cell r="G206" t="str">
            <v>Pilsen</v>
          </cell>
          <cell r="H206">
            <v>0</v>
          </cell>
        </row>
        <row r="207">
          <cell r="D207">
            <v>904932</v>
          </cell>
          <cell r="E207" t="str">
            <v>Heineken</v>
          </cell>
          <cell r="F207" t="str">
            <v>Lata Sleek 350ml</v>
          </cell>
          <cell r="G207" t="str">
            <v>Pilsen</v>
          </cell>
          <cell r="H207">
            <v>2743.6757560512069</v>
          </cell>
        </row>
        <row r="208">
          <cell r="D208">
            <v>904651</v>
          </cell>
          <cell r="E208" t="str">
            <v>Heineken</v>
          </cell>
          <cell r="F208" t="str">
            <v>Vidro 330ml Pry Off</v>
          </cell>
          <cell r="G208" t="str">
            <v>Pilsen</v>
          </cell>
          <cell r="H208">
            <v>0</v>
          </cell>
        </row>
        <row r="209">
          <cell r="D209">
            <v>903464</v>
          </cell>
          <cell r="E209" t="str">
            <v>Sol Premium</v>
          </cell>
          <cell r="F209" t="str">
            <v>Vidro 330ml</v>
          </cell>
          <cell r="G209" t="str">
            <v>Pilsen</v>
          </cell>
          <cell r="H209">
            <v>0</v>
          </cell>
        </row>
        <row r="210">
          <cell r="D210">
            <v>904701</v>
          </cell>
          <cell r="E210" t="str">
            <v>Sol Premium</v>
          </cell>
          <cell r="F210" t="str">
            <v>Vidro 330ml Pry Off</v>
          </cell>
          <cell r="G210" t="str">
            <v>Pilsen</v>
          </cell>
          <cell r="H210">
            <v>0</v>
          </cell>
        </row>
        <row r="211">
          <cell r="D211">
            <v>903991</v>
          </cell>
          <cell r="E211" t="str">
            <v>Heineken 0.0%</v>
          </cell>
          <cell r="F211" t="str">
            <v>Lata 350ml</v>
          </cell>
          <cell r="G211" t="str">
            <v>Pilsen Zero</v>
          </cell>
          <cell r="H211">
            <v>0</v>
          </cell>
        </row>
        <row r="212">
          <cell r="D212">
            <v>904895</v>
          </cell>
          <cell r="E212" t="str">
            <v>Heineken 0.0%</v>
          </cell>
          <cell r="F212" t="str">
            <v>Lata 269ml</v>
          </cell>
          <cell r="G212" t="str">
            <v>Pilsen Zero</v>
          </cell>
          <cell r="H212">
            <v>407.12751408914698</v>
          </cell>
        </row>
        <row r="213">
          <cell r="D213">
            <v>903996</v>
          </cell>
          <cell r="E213" t="str">
            <v>Heineken 0.0%</v>
          </cell>
          <cell r="F213" t="str">
            <v>Vidro 330ml</v>
          </cell>
          <cell r="G213" t="str">
            <v>Pilsen Zero</v>
          </cell>
          <cell r="H213">
            <v>303.14058490299192</v>
          </cell>
        </row>
        <row r="214">
          <cell r="D214">
            <v>904961</v>
          </cell>
          <cell r="E214" t="str">
            <v>Heineken 0.0%</v>
          </cell>
          <cell r="F214" t="str">
            <v>Lata Sleek 350ml</v>
          </cell>
          <cell r="G214" t="str">
            <v>Pilsen Zero</v>
          </cell>
          <cell r="H214">
            <v>255.2223589579213</v>
          </cell>
        </row>
        <row r="215">
          <cell r="D215">
            <v>905072</v>
          </cell>
          <cell r="E215" t="str">
            <v>Amstel Vibes</v>
          </cell>
          <cell r="F215" t="str">
            <v>Lata 269ml</v>
          </cell>
          <cell r="G215" t="str">
            <v>Limão</v>
          </cell>
          <cell r="H215">
            <v>0</v>
          </cell>
        </row>
        <row r="216">
          <cell r="D216">
            <v>905073</v>
          </cell>
          <cell r="E216" t="str">
            <v>Amstel Vibes</v>
          </cell>
          <cell r="F216" t="str">
            <v>Lata 269ml</v>
          </cell>
          <cell r="G216" t="str">
            <v>Melancia E Morango</v>
          </cell>
          <cell r="H216">
            <v>0</v>
          </cell>
        </row>
        <row r="217">
          <cell r="D217">
            <v>903741</v>
          </cell>
          <cell r="E217" t="str">
            <v>Eisenbahn</v>
          </cell>
          <cell r="F217" t="str">
            <v>Vidro 355ml</v>
          </cell>
          <cell r="G217" t="str">
            <v>India Pale Ale</v>
          </cell>
          <cell r="H217">
            <v>5.6290842572183069</v>
          </cell>
        </row>
        <row r="218">
          <cell r="D218">
            <v>902544</v>
          </cell>
          <cell r="E218" t="str">
            <v>Eisenbahn</v>
          </cell>
          <cell r="F218" t="str">
            <v>Vidro 355ml</v>
          </cell>
          <cell r="G218" t="str">
            <v>Pale Ale</v>
          </cell>
          <cell r="H218">
            <v>2.6471028261477856</v>
          </cell>
        </row>
        <row r="219">
          <cell r="D219">
            <v>904513</v>
          </cell>
          <cell r="E219" t="str">
            <v>Eisenbahn</v>
          </cell>
          <cell r="F219" t="str">
            <v>Vidro 355ml</v>
          </cell>
          <cell r="G219" t="str">
            <v>Session Ipa</v>
          </cell>
          <cell r="H219">
            <v>4.2900679701629993</v>
          </cell>
        </row>
        <row r="220">
          <cell r="D220">
            <v>904741</v>
          </cell>
          <cell r="E220" t="str">
            <v>Eisenbahn</v>
          </cell>
          <cell r="F220" t="str">
            <v>Vidro 355ml</v>
          </cell>
          <cell r="G220" t="str">
            <v>Viena Lager</v>
          </cell>
          <cell r="H220">
            <v>0</v>
          </cell>
        </row>
        <row r="221">
          <cell r="D221">
            <v>902581</v>
          </cell>
          <cell r="E221" t="str">
            <v>Eisenbahn</v>
          </cell>
          <cell r="F221" t="str">
            <v>Vidro 355ml</v>
          </cell>
          <cell r="G221" t="str">
            <v>Weizenbier</v>
          </cell>
          <cell r="H221">
            <v>2.4993290956248577</v>
          </cell>
        </row>
        <row r="222">
          <cell r="D222">
            <v>903681</v>
          </cell>
          <cell r="E222" t="str">
            <v>Eisenbahn</v>
          </cell>
          <cell r="F222" t="str">
            <v>Lata 350ml</v>
          </cell>
          <cell r="G222" t="str">
            <v>India Pale Ale</v>
          </cell>
          <cell r="H222">
            <v>43.878161795693813</v>
          </cell>
        </row>
        <row r="223">
          <cell r="D223">
            <v>903683</v>
          </cell>
          <cell r="E223" t="str">
            <v>Eisenbahn</v>
          </cell>
          <cell r="F223" t="str">
            <v>Lata 350ml</v>
          </cell>
          <cell r="G223" t="str">
            <v>Pale Ale</v>
          </cell>
          <cell r="H223">
            <v>9.5655713434728966</v>
          </cell>
        </row>
        <row r="224">
          <cell r="D224">
            <v>904508</v>
          </cell>
          <cell r="E224" t="str">
            <v>Bavaria</v>
          </cell>
          <cell r="F224" t="str">
            <v>Lata 350ml</v>
          </cell>
          <cell r="G224" t="str">
            <v>Pilsen</v>
          </cell>
          <cell r="H224">
            <v>9.8049584200425421</v>
          </cell>
        </row>
        <row r="225">
          <cell r="D225">
            <v>903382</v>
          </cell>
          <cell r="E225" t="str">
            <v>Bavaria</v>
          </cell>
          <cell r="F225" t="str">
            <v>Lata 473ml</v>
          </cell>
          <cell r="G225" t="str">
            <v>Pilsen</v>
          </cell>
          <cell r="H225">
            <v>0</v>
          </cell>
        </row>
        <row r="226">
          <cell r="D226">
            <v>903394</v>
          </cell>
          <cell r="E226" t="str">
            <v>Kaiser</v>
          </cell>
          <cell r="F226" t="str">
            <v>Lata 350ml</v>
          </cell>
          <cell r="G226" t="str">
            <v>Lager</v>
          </cell>
          <cell r="H226">
            <v>0</v>
          </cell>
        </row>
        <row r="227">
          <cell r="D227">
            <v>904791</v>
          </cell>
          <cell r="E227" t="str">
            <v>Tiger</v>
          </cell>
          <cell r="F227" t="str">
            <v>Lata 350ml</v>
          </cell>
          <cell r="G227" t="str">
            <v>Lager</v>
          </cell>
          <cell r="H227">
            <v>0</v>
          </cell>
        </row>
        <row r="228">
          <cell r="D228">
            <v>904542</v>
          </cell>
          <cell r="E228" t="str">
            <v>Eisenbahn</v>
          </cell>
          <cell r="F228" t="str">
            <v>Vidro 600ml</v>
          </cell>
          <cell r="G228" t="str">
            <v>Pilsen</v>
          </cell>
          <cell r="H228">
            <v>0</v>
          </cell>
        </row>
        <row r="229">
          <cell r="D229">
            <v>901781</v>
          </cell>
          <cell r="E229" t="str">
            <v>Eisenbahn</v>
          </cell>
          <cell r="F229" t="str">
            <v>Vidro 355ml</v>
          </cell>
          <cell r="G229" t="str">
            <v>Pilsen</v>
          </cell>
          <cell r="H229">
            <v>5.4084879399551937</v>
          </cell>
        </row>
        <row r="230">
          <cell r="D230">
            <v>903750</v>
          </cell>
          <cell r="E230" t="str">
            <v>Eisenbahn</v>
          </cell>
          <cell r="F230" t="str">
            <v>Lata 350ml</v>
          </cell>
          <cell r="G230" t="str">
            <v>Pilsen</v>
          </cell>
          <cell r="H230">
            <v>281.52539618483394</v>
          </cell>
        </row>
        <row r="231">
          <cell r="D231">
            <v>904194</v>
          </cell>
          <cell r="E231" t="str">
            <v>Eisenbahn</v>
          </cell>
          <cell r="F231" t="str">
            <v>Lata 269ml</v>
          </cell>
          <cell r="G231" t="str">
            <v>Pilsen</v>
          </cell>
          <cell r="H231">
            <v>158.84203571880803</v>
          </cell>
        </row>
        <row r="232">
          <cell r="D232">
            <v>904771</v>
          </cell>
          <cell r="E232" t="str">
            <v>Eisenbahn Unfiltered</v>
          </cell>
          <cell r="F232" t="str">
            <v>Vidro 355ml</v>
          </cell>
          <cell r="G232" t="str">
            <v>Pilsen Unfiltered</v>
          </cell>
          <cell r="H232">
            <v>3.1014838912054139</v>
          </cell>
        </row>
        <row r="233">
          <cell r="D233">
            <v>904772</v>
          </cell>
          <cell r="E233" t="str">
            <v>Eisenbahn Unfiltered</v>
          </cell>
          <cell r="F233" t="str">
            <v>Lata 350ml</v>
          </cell>
          <cell r="G233" t="str">
            <v>Pilsen Unfiltered</v>
          </cell>
          <cell r="H233">
            <v>60.220206769016663</v>
          </cell>
        </row>
        <row r="234">
          <cell r="D234">
            <v>903464</v>
          </cell>
          <cell r="E234" t="str">
            <v>Sol Premium</v>
          </cell>
          <cell r="F234" t="str">
            <v>Vidro 330ml</v>
          </cell>
          <cell r="G234" t="str">
            <v>Pilsen</v>
          </cell>
          <cell r="H234">
            <v>0</v>
          </cell>
        </row>
        <row r="235">
          <cell r="D235">
            <v>905271</v>
          </cell>
          <cell r="E235" t="str">
            <v>Sol Premium</v>
          </cell>
          <cell r="F235" t="str">
            <v>Vidro 330ml</v>
          </cell>
          <cell r="G235" t="str">
            <v>Pilsen Zero</v>
          </cell>
          <cell r="H235">
            <v>215.37057857383368</v>
          </cell>
        </row>
        <row r="236">
          <cell r="D236">
            <v>904701</v>
          </cell>
          <cell r="E236" t="str">
            <v>Sol Premium</v>
          </cell>
          <cell r="F236" t="str">
            <v>Vidro 330ml Pry Off</v>
          </cell>
          <cell r="G236" t="str">
            <v>Pilsen</v>
          </cell>
          <cell r="H236">
            <v>0</v>
          </cell>
        </row>
        <row r="237">
          <cell r="D237">
            <v>903741</v>
          </cell>
          <cell r="E237" t="str">
            <v>Eisenbahn</v>
          </cell>
          <cell r="F237" t="str">
            <v>Vidro 355ml</v>
          </cell>
          <cell r="G237" t="str">
            <v>India Pale Ale</v>
          </cell>
          <cell r="H237">
            <v>0.90888872798556486</v>
          </cell>
        </row>
        <row r="238">
          <cell r="D238">
            <v>902544</v>
          </cell>
          <cell r="E238" t="str">
            <v>Eisenbahn</v>
          </cell>
          <cell r="F238" t="str">
            <v>Vidro 355ml</v>
          </cell>
          <cell r="G238" t="str">
            <v>Pale Ale</v>
          </cell>
          <cell r="H238">
            <v>0.75190948551355619</v>
          </cell>
        </row>
        <row r="239">
          <cell r="D239">
            <v>904513</v>
          </cell>
          <cell r="E239" t="str">
            <v>Eisenbahn</v>
          </cell>
          <cell r="F239" t="str">
            <v>Vidro 355ml</v>
          </cell>
          <cell r="G239" t="str">
            <v>Session Ipa</v>
          </cell>
          <cell r="H239">
            <v>0.63577007384803774</v>
          </cell>
        </row>
        <row r="240">
          <cell r="D240">
            <v>904741</v>
          </cell>
          <cell r="E240" t="str">
            <v>Eisenbahn</v>
          </cell>
          <cell r="F240" t="str">
            <v>Vidro 355ml</v>
          </cell>
          <cell r="G240" t="str">
            <v>Viena Lager</v>
          </cell>
          <cell r="H240">
            <v>0</v>
          </cell>
        </row>
        <row r="241">
          <cell r="D241">
            <v>902581</v>
          </cell>
          <cell r="E241" t="str">
            <v>Eisenbahn</v>
          </cell>
          <cell r="F241" t="str">
            <v>Vidro 355ml</v>
          </cell>
          <cell r="G241" t="str">
            <v>Weizenbier</v>
          </cell>
          <cell r="H241">
            <v>0.85577244119969276</v>
          </cell>
        </row>
        <row r="242">
          <cell r="D242">
            <v>903681</v>
          </cell>
          <cell r="E242" t="str">
            <v>Eisenbahn</v>
          </cell>
          <cell r="F242" t="str">
            <v>Lata 350ml</v>
          </cell>
          <cell r="G242" t="str">
            <v>India Pale Ale</v>
          </cell>
          <cell r="H242">
            <v>3.6880364231469485</v>
          </cell>
        </row>
        <row r="243">
          <cell r="D243">
            <v>903683</v>
          </cell>
          <cell r="E243" t="str">
            <v>Eisenbahn</v>
          </cell>
          <cell r="F243" t="str">
            <v>Lata 350ml</v>
          </cell>
          <cell r="G243" t="str">
            <v>Pale Ale</v>
          </cell>
          <cell r="H243">
            <v>0.71441312621256292</v>
          </cell>
        </row>
        <row r="244">
          <cell r="D244">
            <v>904773</v>
          </cell>
          <cell r="E244" t="str">
            <v>Eisenbahn</v>
          </cell>
          <cell r="F244" t="str">
            <v>Lata 350ml</v>
          </cell>
          <cell r="G244" t="str">
            <v>Session Ipa</v>
          </cell>
          <cell r="H244">
            <v>0.77085488588193918</v>
          </cell>
        </row>
        <row r="245">
          <cell r="D245">
            <v>904508</v>
          </cell>
          <cell r="E245" t="str">
            <v>Bavaria</v>
          </cell>
          <cell r="F245" t="str">
            <v>Lata 350ml</v>
          </cell>
          <cell r="G245" t="str">
            <v>Pilsen</v>
          </cell>
          <cell r="H245">
            <v>4.40486037984543</v>
          </cell>
        </row>
        <row r="246">
          <cell r="D246">
            <v>903382</v>
          </cell>
          <cell r="E246" t="str">
            <v>Bavaria</v>
          </cell>
          <cell r="F246" t="str">
            <v>Lata 473ml</v>
          </cell>
          <cell r="G246" t="str">
            <v>Pilsen</v>
          </cell>
          <cell r="H246">
            <v>0</v>
          </cell>
        </row>
        <row r="247">
          <cell r="D247">
            <v>903394</v>
          </cell>
          <cell r="E247" t="str">
            <v>Kaiser</v>
          </cell>
          <cell r="F247" t="str">
            <v>Lata 350ml</v>
          </cell>
          <cell r="G247" t="str">
            <v>Lager</v>
          </cell>
          <cell r="H247">
            <v>0</v>
          </cell>
        </row>
        <row r="248">
          <cell r="D248">
            <v>904791</v>
          </cell>
          <cell r="E248" t="str">
            <v>Tiger</v>
          </cell>
          <cell r="F248" t="str">
            <v>Lata 350ml</v>
          </cell>
          <cell r="G248" t="str">
            <v>Lager</v>
          </cell>
          <cell r="H248">
            <v>0</v>
          </cell>
        </row>
        <row r="249">
          <cell r="D249">
            <v>904542</v>
          </cell>
          <cell r="E249" t="str">
            <v>Eisenbahn</v>
          </cell>
          <cell r="F249" t="str">
            <v>Vidro 600ml</v>
          </cell>
          <cell r="G249" t="str">
            <v>Pilsen</v>
          </cell>
          <cell r="H249">
            <v>0</v>
          </cell>
        </row>
        <row r="250">
          <cell r="D250">
            <v>901781</v>
          </cell>
          <cell r="E250" t="str">
            <v>Eisenbahn</v>
          </cell>
          <cell r="F250" t="str">
            <v>Vidro 355ml</v>
          </cell>
          <cell r="G250" t="str">
            <v>Pilsen</v>
          </cell>
          <cell r="H250">
            <v>2.2278088760398473</v>
          </cell>
        </row>
        <row r="251">
          <cell r="D251">
            <v>903750</v>
          </cell>
          <cell r="E251" t="str">
            <v>Eisenbahn</v>
          </cell>
          <cell r="F251" t="str">
            <v>Lata 350ml</v>
          </cell>
          <cell r="G251" t="str">
            <v>Pilsen</v>
          </cell>
          <cell r="H251">
            <v>31.147155702032592</v>
          </cell>
        </row>
        <row r="252">
          <cell r="D252">
            <v>904194</v>
          </cell>
          <cell r="E252" t="str">
            <v>Eisenbahn</v>
          </cell>
          <cell r="F252" t="str">
            <v>Lata 269ml</v>
          </cell>
          <cell r="G252" t="str">
            <v>Pilsen</v>
          </cell>
          <cell r="H252">
            <v>2.3103246323792548</v>
          </cell>
        </row>
        <row r="253">
          <cell r="D253">
            <v>904771</v>
          </cell>
          <cell r="E253" t="str">
            <v>Eisenbahn Unfiltered</v>
          </cell>
          <cell r="F253" t="str">
            <v>Vidro 355ml</v>
          </cell>
          <cell r="G253" t="str">
            <v>Pilsen Unfiltered</v>
          </cell>
          <cell r="H253">
            <v>1.0604720187508263</v>
          </cell>
        </row>
        <row r="254">
          <cell r="D254">
            <v>904772</v>
          </cell>
          <cell r="E254" t="str">
            <v>Eisenbahn Unfiltered</v>
          </cell>
          <cell r="F254" t="str">
            <v>Lata 350ml</v>
          </cell>
          <cell r="G254" t="str">
            <v>Pilsen Unfiltered</v>
          </cell>
          <cell r="H254">
            <v>6.6376442109009677</v>
          </cell>
        </row>
        <row r="255">
          <cell r="D255">
            <v>903464</v>
          </cell>
          <cell r="E255" t="str">
            <v>Sol Premium</v>
          </cell>
          <cell r="F255" t="str">
            <v>Vidro 330ml</v>
          </cell>
          <cell r="G255" t="str">
            <v>Pilsen</v>
          </cell>
          <cell r="H255">
            <v>0</v>
          </cell>
        </row>
        <row r="256">
          <cell r="D256">
            <v>419445</v>
          </cell>
          <cell r="E256" t="str">
            <v>Baer Spritz</v>
          </cell>
          <cell r="F256" t="str">
            <v>Lata 269ml</v>
          </cell>
          <cell r="G256" t="str">
            <v>Spritz Jabuticaba</v>
          </cell>
          <cell r="H256">
            <v>3.7048529457086006</v>
          </cell>
        </row>
        <row r="257">
          <cell r="D257">
            <v>419446</v>
          </cell>
          <cell r="E257" t="str">
            <v>Baer Spritz</v>
          </cell>
          <cell r="F257" t="str">
            <v>Lata 269ml</v>
          </cell>
          <cell r="G257" t="str">
            <v>Spritz Abacaxi</v>
          </cell>
          <cell r="H257">
            <v>3.7230004667211238</v>
          </cell>
        </row>
        <row r="258">
          <cell r="D258">
            <v>418628</v>
          </cell>
          <cell r="E258" t="str">
            <v>Five</v>
          </cell>
          <cell r="F258" t="str">
            <v>Lata 220ml</v>
          </cell>
          <cell r="G258" t="str">
            <v>Moscow Mule</v>
          </cell>
          <cell r="H258">
            <v>3.0458333697270281</v>
          </cell>
        </row>
        <row r="259">
          <cell r="D259">
            <v>418638</v>
          </cell>
          <cell r="E259" t="str">
            <v>Vivant</v>
          </cell>
          <cell r="F259" t="str">
            <v>Lata 269ml</v>
          </cell>
          <cell r="G259" t="str">
            <v>Branco Frisante</v>
          </cell>
          <cell r="H259">
            <v>1.4081881787550983</v>
          </cell>
        </row>
        <row r="260">
          <cell r="D260">
            <v>419450</v>
          </cell>
          <cell r="E260" t="str">
            <v>Vermelhão</v>
          </cell>
          <cell r="F260" t="str">
            <v>Vidro 740ml</v>
          </cell>
          <cell r="G260" t="str">
            <v>Amaro</v>
          </cell>
          <cell r="H260">
            <v>2.667588899582146</v>
          </cell>
        </row>
        <row r="261">
          <cell r="D261">
            <v>419456</v>
          </cell>
          <cell r="E261" t="str">
            <v>Vivant</v>
          </cell>
          <cell r="F261" t="str">
            <v>Lata 269ml</v>
          </cell>
          <cell r="G261" t="str">
            <v>Rose Frisant</v>
          </cell>
          <cell r="H261">
            <v>1.3232591995853642</v>
          </cell>
        </row>
        <row r="262">
          <cell r="D262">
            <v>419560</v>
          </cell>
          <cell r="E262" t="str">
            <v>Vivant</v>
          </cell>
          <cell r="F262" t="str">
            <v>Lata 269ml</v>
          </cell>
          <cell r="G262" t="str">
            <v>Branco Chardon</v>
          </cell>
          <cell r="H262">
            <v>1.3232591995853642</v>
          </cell>
        </row>
        <row r="263">
          <cell r="D263">
            <v>633658</v>
          </cell>
          <cell r="E263" t="str">
            <v>Five</v>
          </cell>
          <cell r="F263" t="str">
            <v>Lata 310ml</v>
          </cell>
          <cell r="G263" t="str">
            <v>Cosmopolit</v>
          </cell>
          <cell r="H263">
            <v>3.3099051630742702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BD34-DFF7-4955-BE9E-5B994AA798AC}">
  <sheetPr>
    <tabColor rgb="FFFF0000"/>
  </sheetPr>
  <dimension ref="B2:L6"/>
  <sheetViews>
    <sheetView showGridLines="0" workbookViewId="0">
      <selection activeCell="G17" sqref="G17"/>
    </sheetView>
  </sheetViews>
  <sheetFormatPr defaultRowHeight="15" x14ac:dyDescent="0.25"/>
  <cols>
    <col min="2" max="2" width="10.42578125" bestFit="1" customWidth="1"/>
    <col min="3" max="3" width="10.42578125" customWidth="1"/>
    <col min="4" max="4" width="28.7109375" bestFit="1" customWidth="1"/>
    <col min="5" max="5" width="15" bestFit="1" customWidth="1"/>
    <col min="6" max="6" width="12.5703125" bestFit="1" customWidth="1"/>
    <col min="7" max="7" width="37.5703125" bestFit="1" customWidth="1"/>
    <col min="8" max="8" width="4.42578125" bestFit="1" customWidth="1"/>
    <col min="9" max="9" width="22" bestFit="1" customWidth="1"/>
    <col min="10" max="10" width="7.85546875" bestFit="1" customWidth="1"/>
    <col min="11" max="11" width="10.42578125" bestFit="1" customWidth="1"/>
    <col min="12" max="12" width="6.140625" bestFit="1" customWidth="1"/>
  </cols>
  <sheetData>
    <row r="2" spans="2:12" ht="24" x14ac:dyDescent="0.25">
      <c r="B2" s="144" t="s">
        <v>257</v>
      </c>
      <c r="C2" s="144" t="s">
        <v>278</v>
      </c>
      <c r="D2" s="144" t="s">
        <v>258</v>
      </c>
      <c r="E2" s="144" t="s">
        <v>259</v>
      </c>
      <c r="F2" s="144" t="s">
        <v>260</v>
      </c>
      <c r="G2" s="144" t="s">
        <v>112</v>
      </c>
      <c r="H2" s="144" t="s">
        <v>261</v>
      </c>
      <c r="I2" s="144" t="s">
        <v>114</v>
      </c>
      <c r="J2" s="144" t="s">
        <v>262</v>
      </c>
      <c r="K2" s="144" t="s">
        <v>109</v>
      </c>
      <c r="L2" s="144" t="s">
        <v>115</v>
      </c>
    </row>
    <row r="3" spans="2:12" x14ac:dyDescent="0.25">
      <c r="B3" s="145" t="s">
        <v>106</v>
      </c>
      <c r="C3" s="145">
        <v>5000</v>
      </c>
      <c r="D3" s="145" t="s">
        <v>263</v>
      </c>
      <c r="E3" s="146" t="s">
        <v>264</v>
      </c>
      <c r="F3" s="147">
        <v>387000650117</v>
      </c>
      <c r="G3" s="145" t="s">
        <v>265</v>
      </c>
      <c r="H3" s="145">
        <v>2222</v>
      </c>
      <c r="I3" s="145" t="s">
        <v>266</v>
      </c>
      <c r="J3" s="145">
        <v>13312250</v>
      </c>
      <c r="K3" s="145" t="s">
        <v>267</v>
      </c>
      <c r="L3" s="145" t="s">
        <v>108</v>
      </c>
    </row>
    <row r="4" spans="2:12" x14ac:dyDescent="0.25">
      <c r="B4" s="145" t="s">
        <v>121</v>
      </c>
      <c r="C4" s="145">
        <v>5238</v>
      </c>
      <c r="D4" s="145" t="s">
        <v>263</v>
      </c>
      <c r="E4" s="146" t="s">
        <v>268</v>
      </c>
      <c r="F4" s="147">
        <v>392558326113</v>
      </c>
      <c r="G4" s="145" t="s">
        <v>269</v>
      </c>
      <c r="H4" s="145">
        <v>2911</v>
      </c>
      <c r="I4" s="145" t="s">
        <v>270</v>
      </c>
      <c r="J4" s="145">
        <v>12321150</v>
      </c>
      <c r="K4" s="145" t="s">
        <v>271</v>
      </c>
      <c r="L4" s="145" t="s">
        <v>108</v>
      </c>
    </row>
    <row r="5" spans="2:12" x14ac:dyDescent="0.25">
      <c r="B5" s="145" t="s">
        <v>120</v>
      </c>
      <c r="C5" s="145">
        <v>5239</v>
      </c>
      <c r="D5" s="145" t="s">
        <v>263</v>
      </c>
      <c r="E5" s="146" t="s">
        <v>272</v>
      </c>
      <c r="F5" s="147">
        <v>181661963118</v>
      </c>
      <c r="G5" s="145" t="s">
        <v>273</v>
      </c>
      <c r="H5" s="145">
        <v>701</v>
      </c>
      <c r="I5" s="145" t="s">
        <v>274</v>
      </c>
      <c r="J5" s="145">
        <v>14808080</v>
      </c>
      <c r="K5" s="145" t="s">
        <v>120</v>
      </c>
      <c r="L5" s="145" t="s">
        <v>108</v>
      </c>
    </row>
    <row r="6" spans="2:12" x14ac:dyDescent="0.25">
      <c r="B6" s="145" t="s">
        <v>117</v>
      </c>
      <c r="C6" s="145">
        <v>5231</v>
      </c>
      <c r="D6" s="145" t="s">
        <v>263</v>
      </c>
      <c r="E6" s="146" t="s">
        <v>275</v>
      </c>
      <c r="F6" s="147" t="s">
        <v>276</v>
      </c>
      <c r="G6" s="145" t="s">
        <v>277</v>
      </c>
      <c r="H6" s="145">
        <v>199</v>
      </c>
      <c r="I6" s="145" t="s">
        <v>118</v>
      </c>
      <c r="J6" s="145">
        <v>84043610</v>
      </c>
      <c r="K6" s="145" t="s">
        <v>117</v>
      </c>
      <c r="L6" s="145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3F6C-8D64-4C9E-B80D-C4C32A4DA069}">
  <sheetPr>
    <tabColor theme="1"/>
  </sheetPr>
  <dimension ref="A2:XEN71"/>
  <sheetViews>
    <sheetView showGridLines="0" zoomScale="91" zoomScaleNormal="91" workbookViewId="0">
      <pane xSplit="11" ySplit="4" topLeftCell="R44" activePane="bottomRight" state="frozen"/>
      <selection activeCell="I19" sqref="I19"/>
      <selection pane="topRight" activeCell="I19" sqref="I19"/>
      <selection pane="bottomLeft" activeCell="I19" sqref="I19"/>
      <selection pane="bottomRight" activeCell="AA8" sqref="AA8"/>
    </sheetView>
  </sheetViews>
  <sheetFormatPr defaultRowHeight="14.25" customHeight="1" outlineLevelCol="1" x14ac:dyDescent="0.2"/>
  <cols>
    <col min="1" max="1" width="9.5703125" style="1" hidden="1" customWidth="1" outlineLevel="1"/>
    <col min="2" max="2" width="11.85546875" style="1" hidden="1" customWidth="1" outlineLevel="1"/>
    <col min="3" max="3" width="8.140625" style="30" hidden="1" customWidth="1" outlineLevel="1"/>
    <col min="4" max="4" width="10.42578125" style="30" hidden="1" customWidth="1" outlineLevel="1"/>
    <col min="5" max="5" width="9.42578125" style="30" hidden="1" customWidth="1" outlineLevel="1"/>
    <col min="6" max="6" width="9.7109375" style="30" customWidth="1" collapsed="1"/>
    <col min="7" max="7" width="8.28515625" style="1" bestFit="1" customWidth="1"/>
    <col min="8" max="8" width="34.5703125" style="1" customWidth="1"/>
    <col min="9" max="9" width="3.5703125" style="1" bestFit="1" customWidth="1"/>
    <col min="10" max="10" width="6.28515625" style="1" bestFit="1" customWidth="1"/>
    <col min="11" max="11" width="7.140625" style="1" bestFit="1" customWidth="1"/>
    <col min="12" max="12" width="8.7109375" style="1" customWidth="1"/>
    <col min="13" max="13" width="7.7109375" style="1" customWidth="1"/>
    <col min="14" max="14" width="7.42578125" style="1" customWidth="1"/>
    <col min="15" max="15" width="7.140625" style="1" customWidth="1"/>
    <col min="16" max="16" width="7.85546875" style="1" customWidth="1"/>
    <col min="17" max="17" width="11" style="1" hidden="1" customWidth="1" outlineLevel="1"/>
    <col min="18" max="18" width="10" style="1" customWidth="1" collapsed="1"/>
    <col min="19" max="19" width="9.7109375" style="1" hidden="1" customWidth="1" outlineLevel="1"/>
    <col min="20" max="20" width="9.5703125" style="1" customWidth="1" collapsed="1"/>
    <col min="21" max="21" width="11.28515625" style="1" customWidth="1"/>
    <col min="22" max="22" width="9.5703125" style="1" customWidth="1"/>
    <col min="23" max="23" width="7.85546875" style="1" customWidth="1"/>
    <col min="24" max="24" width="10.28515625" style="1" customWidth="1"/>
    <col min="25" max="25" width="14.42578125" style="1" customWidth="1"/>
    <col min="26" max="26" width="15.140625" style="1" bestFit="1" customWidth="1"/>
    <col min="27" max="27" width="9.5703125" style="1" bestFit="1" customWidth="1"/>
    <col min="28" max="28" width="2.42578125" style="1" hidden="1" customWidth="1" outlineLevel="1"/>
    <col min="29" max="29" width="16.7109375" style="1" hidden="1" customWidth="1" outlineLevel="1"/>
    <col min="30" max="30" width="13" style="1" hidden="1" customWidth="1" outlineLevel="1"/>
    <col min="31" max="31" width="8.140625" style="1" hidden="1" customWidth="1" outlineLevel="1"/>
    <col min="32" max="32" width="2" style="1" customWidth="1" collapsed="1"/>
    <col min="33" max="33" width="12" style="1" customWidth="1" outlineLevel="1"/>
    <col min="34" max="34" width="14.7109375" style="1" customWidth="1" outlineLevel="1"/>
    <col min="35" max="35" width="12.7109375" style="1" customWidth="1" outlineLevel="1"/>
    <col min="36" max="36" width="8.42578125" style="1" customWidth="1" outlineLevel="1"/>
    <col min="37" max="37" width="12.7109375" style="1" customWidth="1" outlineLevel="1"/>
    <col min="38" max="38" width="11.7109375" style="1" customWidth="1" outlineLevel="1"/>
    <col min="39" max="39" width="9.42578125" style="1" customWidth="1" outlineLevel="1"/>
    <col min="40" max="40" width="14.140625" style="1" customWidth="1" outlineLevel="1"/>
    <col min="41" max="41" width="11.7109375" style="1" customWidth="1" outlineLevel="1"/>
    <col min="42" max="42" width="14.140625" style="1" customWidth="1" outlineLevel="1"/>
    <col min="43" max="43" width="11.28515625" style="1" customWidth="1" outlineLevel="1"/>
    <col min="44" max="44" width="17" style="1" customWidth="1" outlineLevel="1"/>
    <col min="45" max="45" width="13.140625" style="1" customWidth="1" outlineLevel="1"/>
    <col min="46" max="46" width="11.85546875" style="1" customWidth="1" outlineLevel="1"/>
    <col min="47" max="47" width="10.7109375" style="1" customWidth="1" outlineLevel="1"/>
    <col min="48" max="48" width="16" style="1" customWidth="1" outlineLevel="1"/>
    <col min="49" max="49" width="2.42578125" style="1" customWidth="1"/>
    <col min="50" max="50" width="13.28515625" style="1" customWidth="1" outlineLevel="1"/>
    <col min="51" max="51" width="13" style="1" customWidth="1" outlineLevel="1"/>
    <col min="52" max="52" width="9.42578125" style="1" customWidth="1" outlineLevel="1"/>
    <col min="53" max="53" width="8" style="1" customWidth="1" outlineLevel="1"/>
    <col min="54" max="54" width="4" style="1" customWidth="1"/>
    <col min="55" max="55" width="11.28515625" style="1" bestFit="1" customWidth="1"/>
    <col min="56" max="56" width="29.85546875" style="1" bestFit="1" customWidth="1"/>
    <col min="57" max="57" width="16.42578125" style="1" bestFit="1" customWidth="1"/>
    <col min="58" max="58" width="14" style="1" bestFit="1" customWidth="1"/>
    <col min="59" max="59" width="41.42578125" style="1" bestFit="1" customWidth="1"/>
    <col min="60" max="60" width="7" style="1" bestFit="1" customWidth="1"/>
    <col min="61" max="61" width="26" style="1" bestFit="1" customWidth="1"/>
    <col min="62" max="62" width="8.5703125" style="1" bestFit="1" customWidth="1"/>
    <col min="63" max="63" width="11.28515625" style="1" bestFit="1" customWidth="1"/>
    <col min="64" max="64" width="3.85546875" style="1" bestFit="1" customWidth="1"/>
    <col min="65" max="16367" width="9.140625" style="1"/>
    <col min="16368" max="16368" width="6.7109375" style="1" bestFit="1" customWidth="1"/>
    <col min="16369" max="16384" width="6.7109375" style="1" customWidth="1"/>
  </cols>
  <sheetData>
    <row r="2" spans="1:64" ht="12" x14ac:dyDescent="0.2">
      <c r="J2" s="124"/>
      <c r="Q2" s="26"/>
      <c r="R2" s="25"/>
      <c r="S2" s="33"/>
      <c r="T2" s="27"/>
      <c r="U2" s="33"/>
      <c r="V2" s="27"/>
      <c r="W2" s="27"/>
      <c r="X2" s="27"/>
      <c r="Y2" s="28"/>
      <c r="Z2" s="28"/>
      <c r="AA2" s="38"/>
      <c r="AB2" s="43"/>
      <c r="AC2" s="42"/>
      <c r="AD2" s="42"/>
      <c r="AE2" s="42"/>
      <c r="AG2" s="54"/>
      <c r="AH2" s="61">
        <f>SUBTOTAL(9,AH5:AH57)</f>
        <v>1067795.7759520004</v>
      </c>
      <c r="AI2" s="54"/>
      <c r="AJ2" s="54"/>
      <c r="AK2" s="61">
        <f>SUBTOTAL(9,AK5:AK57)</f>
        <v>174579.83020800003</v>
      </c>
      <c r="AL2" s="54"/>
      <c r="AM2" s="54"/>
      <c r="AN2" s="61">
        <f>SUBTOTAL(9,AN5:AN57)</f>
        <v>1512745.6512</v>
      </c>
      <c r="AO2" s="54"/>
      <c r="AP2" s="55"/>
      <c r="AQ2" s="54"/>
      <c r="AR2" s="43"/>
      <c r="AS2" s="43"/>
      <c r="AT2" s="43"/>
      <c r="AU2" s="43"/>
      <c r="AV2" s="43"/>
      <c r="AX2" s="42"/>
      <c r="AY2" s="42"/>
      <c r="AZ2" s="42"/>
      <c r="BA2" s="42"/>
    </row>
    <row r="3" spans="1:64" ht="19.5" customHeight="1" x14ac:dyDescent="0.2">
      <c r="B3" s="34" t="e">
        <f>SUBTOTAL(9,B5:B57)</f>
        <v>#N/A</v>
      </c>
      <c r="H3" s="2"/>
      <c r="L3" s="18"/>
      <c r="N3" s="18"/>
      <c r="O3" s="134"/>
      <c r="P3" s="134"/>
      <c r="Q3" s="134"/>
      <c r="R3" s="31"/>
      <c r="T3" s="6"/>
      <c r="U3" s="6"/>
      <c r="V3" s="212" t="s">
        <v>285</v>
      </c>
      <c r="W3" s="213"/>
      <c r="X3" s="213"/>
      <c r="Y3" s="2">
        <f>SUBTOTAL(9,Y5:Y57)</f>
        <v>2606749.1999999997</v>
      </c>
      <c r="AA3" s="19">
        <f>SUBTOTAL(9,AA5:AA57)</f>
        <v>30361.504959999998</v>
      </c>
      <c r="AB3" s="43"/>
      <c r="AC3" s="206" t="s">
        <v>59</v>
      </c>
      <c r="AD3" s="208" t="s">
        <v>58</v>
      </c>
      <c r="AE3" s="210" t="s">
        <v>279</v>
      </c>
      <c r="AG3" s="113"/>
      <c r="AH3" s="113" t="s">
        <v>51</v>
      </c>
      <c r="AI3" s="113"/>
      <c r="AJ3" s="114"/>
      <c r="AK3" s="114" t="s">
        <v>57</v>
      </c>
      <c r="AL3" s="114"/>
      <c r="AM3" s="115"/>
      <c r="AN3" s="115" t="s">
        <v>50</v>
      </c>
      <c r="AO3" s="115"/>
      <c r="AP3" s="116">
        <f>SUBTOTAL(9,AP5:AP57)</f>
        <v>2755121.2573599988</v>
      </c>
      <c r="AQ3" s="117"/>
      <c r="AR3" s="118"/>
      <c r="AS3" s="119"/>
      <c r="AT3" s="120"/>
      <c r="AU3" s="120"/>
      <c r="AV3" s="201" t="s">
        <v>70</v>
      </c>
      <c r="AX3" s="166"/>
      <c r="AY3" s="166"/>
      <c r="AZ3" s="166"/>
      <c r="BA3" s="166"/>
    </row>
    <row r="4" spans="1:64" ht="40.5" customHeight="1" thickBot="1" x14ac:dyDescent="0.25">
      <c r="A4" s="48" t="s">
        <v>62</v>
      </c>
      <c r="B4" s="49" t="s">
        <v>85</v>
      </c>
      <c r="C4" s="48" t="s">
        <v>63</v>
      </c>
      <c r="D4" s="48" t="s">
        <v>72</v>
      </c>
      <c r="E4" s="48" t="s">
        <v>73</v>
      </c>
      <c r="F4" s="15" t="s">
        <v>84</v>
      </c>
      <c r="G4" s="17" t="s">
        <v>47</v>
      </c>
      <c r="H4" s="17" t="s">
        <v>46</v>
      </c>
      <c r="I4" s="15" t="s">
        <v>45</v>
      </c>
      <c r="J4" s="15" t="s">
        <v>44</v>
      </c>
      <c r="K4" s="15" t="s">
        <v>43</v>
      </c>
      <c r="L4" s="15" t="s">
        <v>42</v>
      </c>
      <c r="M4" s="16" t="s">
        <v>41</v>
      </c>
      <c r="N4" s="16" t="s">
        <v>40</v>
      </c>
      <c r="O4" s="15" t="s">
        <v>67</v>
      </c>
      <c r="P4" s="15" t="s">
        <v>245</v>
      </c>
      <c r="Q4" s="15" t="s">
        <v>39</v>
      </c>
      <c r="R4" s="15" t="s">
        <v>38</v>
      </c>
      <c r="S4" s="15" t="s">
        <v>37</v>
      </c>
      <c r="T4" s="15" t="s">
        <v>36</v>
      </c>
      <c r="U4" s="15" t="s">
        <v>123</v>
      </c>
      <c r="V4" s="35" t="s">
        <v>66</v>
      </c>
      <c r="W4" s="37" t="s">
        <v>65</v>
      </c>
      <c r="X4" s="37" t="s">
        <v>280</v>
      </c>
      <c r="Y4" s="14" t="s">
        <v>35</v>
      </c>
      <c r="Z4" s="24" t="s">
        <v>34</v>
      </c>
      <c r="AA4" s="24" t="s">
        <v>52</v>
      </c>
      <c r="AB4" s="53"/>
      <c r="AC4" s="207"/>
      <c r="AD4" s="209"/>
      <c r="AE4" s="211"/>
      <c r="AG4" s="62" t="s">
        <v>33</v>
      </c>
      <c r="AH4" s="62" t="s">
        <v>32</v>
      </c>
      <c r="AI4" s="62" t="s">
        <v>31</v>
      </c>
      <c r="AJ4" s="63" t="s">
        <v>33</v>
      </c>
      <c r="AK4" s="63" t="s">
        <v>32</v>
      </c>
      <c r="AL4" s="63" t="s">
        <v>31</v>
      </c>
      <c r="AM4" s="64" t="s">
        <v>33</v>
      </c>
      <c r="AN4" s="64" t="s">
        <v>32</v>
      </c>
      <c r="AO4" s="64" t="s">
        <v>31</v>
      </c>
      <c r="AP4" s="56" t="s">
        <v>49</v>
      </c>
      <c r="AQ4" s="57" t="s">
        <v>48</v>
      </c>
      <c r="AR4" s="111" t="s">
        <v>35</v>
      </c>
      <c r="AS4" s="112" t="s">
        <v>105</v>
      </c>
      <c r="AT4" s="110" t="s">
        <v>68</v>
      </c>
      <c r="AU4" s="110" t="s">
        <v>69</v>
      </c>
      <c r="AV4" s="202"/>
      <c r="AX4" s="149" t="s">
        <v>282</v>
      </c>
      <c r="AY4" s="149" t="s">
        <v>283</v>
      </c>
      <c r="AZ4" s="149" t="s">
        <v>281</v>
      </c>
      <c r="BA4" s="149" t="s">
        <v>284</v>
      </c>
      <c r="BC4" s="15" t="s">
        <v>109</v>
      </c>
      <c r="BD4" s="15" t="s">
        <v>110</v>
      </c>
      <c r="BE4" s="15" t="s">
        <v>107</v>
      </c>
      <c r="BF4" s="15" t="s">
        <v>111</v>
      </c>
      <c r="BG4" s="15" t="s">
        <v>112</v>
      </c>
      <c r="BH4" s="15" t="s">
        <v>113</v>
      </c>
      <c r="BI4" s="15" t="s">
        <v>114</v>
      </c>
      <c r="BJ4" s="15" t="s">
        <v>109</v>
      </c>
      <c r="BK4" s="15" t="s">
        <v>115</v>
      </c>
      <c r="BL4" s="15" t="s">
        <v>116</v>
      </c>
    </row>
    <row r="5" spans="1:64" ht="14.25" customHeight="1" thickBot="1" x14ac:dyDescent="0.25">
      <c r="A5" s="50">
        <v>3.2280000000000003E-2</v>
      </c>
      <c r="B5" s="27">
        <f>VLOOKUP(F5,Planilha3!D:F,3,0)</f>
        <v>1663.6932576133315</v>
      </c>
      <c r="C5" s="47">
        <f>B5/A5</f>
        <v>51539.444163981767</v>
      </c>
      <c r="D5" s="47" t="s">
        <v>82</v>
      </c>
      <c r="E5" s="47" t="s">
        <v>83</v>
      </c>
      <c r="F5" s="20">
        <v>904113</v>
      </c>
      <c r="G5" s="20">
        <v>1052772</v>
      </c>
      <c r="H5" s="11" t="s">
        <v>30</v>
      </c>
      <c r="I5" s="20">
        <v>12</v>
      </c>
      <c r="J5" s="20">
        <v>336</v>
      </c>
      <c r="K5" s="123">
        <f t="shared" ref="K5:K14" si="0">J5*24</f>
        <v>8064</v>
      </c>
      <c r="L5" s="125">
        <v>161280</v>
      </c>
      <c r="M5" s="178">
        <f t="shared" ref="M5:M57" si="1">L5/J5</f>
        <v>480</v>
      </c>
      <c r="N5" s="84">
        <f t="shared" ref="N5:N30" si="2">L5/K5</f>
        <v>20</v>
      </c>
      <c r="O5" s="148">
        <v>33.159999999999997</v>
      </c>
      <c r="P5" s="135">
        <f>O5/I5</f>
        <v>2.7633333333333332</v>
      </c>
      <c r="Q5" s="13">
        <f t="shared" ref="Q5:Q57" si="3">R5*I5</f>
        <v>0.60000000000000009</v>
      </c>
      <c r="R5" s="13">
        <v>0.05</v>
      </c>
      <c r="S5" s="74">
        <f t="shared" ref="S5:S47" si="4">T5*I5</f>
        <v>3.5999999999999996</v>
      </c>
      <c r="T5" s="74">
        <v>0.3</v>
      </c>
      <c r="U5" s="121">
        <f>SUM(R5,T5)</f>
        <v>0.35</v>
      </c>
      <c r="V5" s="157">
        <f>VLOOKUP(F5,'[1]Proposta HNK para Tenda'!$F:$T,15,0)</f>
        <v>3.2900000000000005</v>
      </c>
      <c r="W5" s="157">
        <f>VLOOKUP(F5,'[1]Proposta HNK para Tenda'!$F:$U,16,0)</f>
        <v>3.0900000000000003</v>
      </c>
      <c r="X5" s="157">
        <v>2.79</v>
      </c>
      <c r="Y5" s="45">
        <f t="shared" ref="Y5:Y57" si="5">L5*(Q5+S5)</f>
        <v>677375.99999999988</v>
      </c>
      <c r="Z5" s="8">
        <f t="shared" ref="Z5:Z57" si="6">L5*O5</f>
        <v>5348044.7999999998</v>
      </c>
      <c r="AA5" s="32">
        <f>L5*12*0.269/100</f>
        <v>5206.1184000000003</v>
      </c>
      <c r="AB5" s="43"/>
      <c r="AC5" s="44">
        <f t="shared" ref="AC5:AC57" si="7">SUM(AI5,AL5,AO5)</f>
        <v>0.36812650000000002</v>
      </c>
      <c r="AD5" s="39">
        <f t="shared" ref="AD5:AD57" si="8">SUM(R5,T5)</f>
        <v>0.35</v>
      </c>
      <c r="AE5" s="39">
        <f>AC5-AD5</f>
        <v>1.8126500000000045E-2</v>
      </c>
      <c r="AG5" s="175">
        <v>19.98</v>
      </c>
      <c r="AH5" s="175">
        <f t="shared" ref="AH5:AH36" si="9">AG5*AA5</f>
        <v>104018.24563200001</v>
      </c>
      <c r="AI5" s="175">
        <f t="shared" ref="AI5:AI36" si="10">AH5/L5/I5</f>
        <v>5.3746200000000001E-2</v>
      </c>
      <c r="AJ5" s="175">
        <v>23.87</v>
      </c>
      <c r="AK5" s="175">
        <f t="shared" ref="AK5:AK36" si="11">AJ5*AA5</f>
        <v>124270.04620800001</v>
      </c>
      <c r="AL5" s="175">
        <f t="shared" ref="AL5:AL36" si="12">AK5/L5/I5</f>
        <v>6.4210300000000012E-2</v>
      </c>
      <c r="AM5" s="174">
        <v>93</v>
      </c>
      <c r="AN5" s="174">
        <f t="shared" ref="AN5:AN36" si="13">AM5*AA5</f>
        <v>484169.01120000001</v>
      </c>
      <c r="AO5" s="174">
        <f t="shared" ref="AO5:AO36" si="14">AN5/L5/I5</f>
        <v>0.25017</v>
      </c>
      <c r="AP5" s="7">
        <f t="shared" ref="AP5:AP57" si="15">SUM(AH5,AK5,AN5)</f>
        <v>712457.30304000003</v>
      </c>
      <c r="AQ5" s="7">
        <f t="shared" ref="AQ5:AQ57" si="16">SUM(AI5,AL5,AO5)</f>
        <v>0.36812650000000002</v>
      </c>
      <c r="AR5" s="40">
        <f t="shared" ref="AR5:AR36" si="17">Y5</f>
        <v>677375.99999999988</v>
      </c>
      <c r="AS5" s="40">
        <f>AP5-AR5</f>
        <v>35081.303040000144</v>
      </c>
      <c r="AT5" s="7">
        <f t="shared" ref="AT5:AT36" si="18">O5/I5</f>
        <v>2.7633333333333332</v>
      </c>
      <c r="AU5" s="40">
        <f t="shared" ref="AU5:AU36" si="19">AT5-R5-T5</f>
        <v>2.4133333333333336</v>
      </c>
      <c r="AV5" s="41">
        <f t="shared" ref="AV5:AV36" si="20">(W5-AU5)/W5</f>
        <v>0.21898597626752966</v>
      </c>
      <c r="AX5" s="155">
        <f>W5*50%</f>
        <v>1.5450000000000002</v>
      </c>
      <c r="AY5" s="156">
        <f>X5*50%</f>
        <v>1.395</v>
      </c>
      <c r="AZ5" s="158">
        <f>AX5+AY5</f>
        <v>2.9400000000000004</v>
      </c>
      <c r="BA5" s="162">
        <f>(W5-X5)/W5</f>
        <v>9.7087378640776781E-2</v>
      </c>
      <c r="BC5" s="86" t="s">
        <v>106</v>
      </c>
      <c r="BD5" s="86" t="s">
        <v>263</v>
      </c>
      <c r="BE5" s="87" t="s">
        <v>264</v>
      </c>
      <c r="BF5" s="87">
        <v>387000650117</v>
      </c>
      <c r="BG5" s="86" t="s">
        <v>265</v>
      </c>
      <c r="BH5" s="86">
        <v>2222</v>
      </c>
      <c r="BI5" s="86" t="s">
        <v>266</v>
      </c>
      <c r="BJ5" s="86">
        <v>13312250</v>
      </c>
      <c r="BK5" s="86" t="s">
        <v>267</v>
      </c>
      <c r="BL5" s="86" t="s">
        <v>108</v>
      </c>
    </row>
    <row r="6" spans="1:64" ht="14.25" customHeight="1" thickBot="1" x14ac:dyDescent="0.25">
      <c r="A6" s="50">
        <v>4.2000000000000003E-2</v>
      </c>
      <c r="B6" s="27">
        <f>VLOOKUP(F6,Planilha3!D:F,3,0)</f>
        <v>1031.9337719008988</v>
      </c>
      <c r="C6" s="47">
        <f t="shared" ref="C6:C14" si="21">B6/A6</f>
        <v>24569.85171192616</v>
      </c>
      <c r="D6" s="47" t="s">
        <v>82</v>
      </c>
      <c r="E6" s="47" t="s">
        <v>83</v>
      </c>
      <c r="F6" s="20">
        <v>904952</v>
      </c>
      <c r="G6" s="20">
        <v>1193288</v>
      </c>
      <c r="H6" s="11" t="s">
        <v>53</v>
      </c>
      <c r="I6" s="20">
        <v>12</v>
      </c>
      <c r="J6" s="20">
        <v>280</v>
      </c>
      <c r="K6" s="123">
        <f t="shared" si="0"/>
        <v>6720</v>
      </c>
      <c r="L6" s="125">
        <f>K6*8</f>
        <v>53760</v>
      </c>
      <c r="M6" s="178">
        <f t="shared" si="1"/>
        <v>192</v>
      </c>
      <c r="N6" s="84">
        <f t="shared" si="2"/>
        <v>8</v>
      </c>
      <c r="O6" s="148">
        <v>39.21</v>
      </c>
      <c r="P6" s="135">
        <f t="shared" ref="P6:P57" si="22">O6/I6</f>
        <v>3.2675000000000001</v>
      </c>
      <c r="Q6" s="13">
        <f t="shared" si="3"/>
        <v>1.2000000000000002</v>
      </c>
      <c r="R6" s="13">
        <v>0.1</v>
      </c>
      <c r="S6" s="74">
        <f t="shared" si="4"/>
        <v>3.24</v>
      </c>
      <c r="T6" s="74">
        <v>0.27</v>
      </c>
      <c r="U6" s="121">
        <f t="shared" ref="U6:U57" si="23">SUM(R6,T6)</f>
        <v>0.37</v>
      </c>
      <c r="V6" s="157">
        <f>VLOOKUP(F6,'[1]Proposta HNK para Tenda'!$F:$T,15,0)</f>
        <v>3.89</v>
      </c>
      <c r="W6" s="157">
        <f>VLOOKUP(F6,'[1]Proposta HNK para Tenda'!$F:$U,16,0)</f>
        <v>3.6900000000000004</v>
      </c>
      <c r="X6" s="157">
        <v>3.29</v>
      </c>
      <c r="Y6" s="45">
        <f t="shared" si="5"/>
        <v>238694.40000000002</v>
      </c>
      <c r="Z6" s="8">
        <f t="shared" si="6"/>
        <v>2107929.6000000001</v>
      </c>
      <c r="AA6" s="32">
        <f>L6*12*0.35/100</f>
        <v>2257.92</v>
      </c>
      <c r="AB6" s="43"/>
      <c r="AC6" s="44">
        <f t="shared" si="7"/>
        <v>0.37800000000000006</v>
      </c>
      <c r="AD6" s="39">
        <f t="shared" si="8"/>
        <v>0.37</v>
      </c>
      <c r="AE6" s="39">
        <f t="shared" ref="AE6:AE14" si="24">AC6-AD6</f>
        <v>8.0000000000000626E-3</v>
      </c>
      <c r="AG6" s="175">
        <v>21.4</v>
      </c>
      <c r="AH6" s="175">
        <f t="shared" si="9"/>
        <v>48319.487999999998</v>
      </c>
      <c r="AI6" s="175">
        <f t="shared" si="10"/>
        <v>7.4899999999999994E-2</v>
      </c>
      <c r="AJ6" s="175">
        <v>21.6</v>
      </c>
      <c r="AK6" s="175">
        <f t="shared" si="11"/>
        <v>48771.072000000007</v>
      </c>
      <c r="AL6" s="175">
        <f t="shared" si="12"/>
        <v>7.5600000000000014E-2</v>
      </c>
      <c r="AM6" s="174">
        <v>65</v>
      </c>
      <c r="AN6" s="174">
        <f t="shared" si="13"/>
        <v>146764.80000000002</v>
      </c>
      <c r="AO6" s="174">
        <f t="shared" si="14"/>
        <v>0.22750000000000004</v>
      </c>
      <c r="AP6" s="7">
        <f t="shared" si="15"/>
        <v>243855.36000000002</v>
      </c>
      <c r="AQ6" s="7">
        <f t="shared" si="16"/>
        <v>0.37800000000000006</v>
      </c>
      <c r="AR6" s="40">
        <f t="shared" si="17"/>
        <v>238694.40000000002</v>
      </c>
      <c r="AS6" s="40">
        <f t="shared" ref="AS6:AS14" si="25">AP6-AR6</f>
        <v>5160.9599999999919</v>
      </c>
      <c r="AT6" s="7">
        <f t="shared" si="18"/>
        <v>3.2675000000000001</v>
      </c>
      <c r="AU6" s="40">
        <f t="shared" si="19"/>
        <v>2.8975</v>
      </c>
      <c r="AV6" s="41">
        <f t="shared" si="20"/>
        <v>0.21476964769647705</v>
      </c>
      <c r="AX6" s="153">
        <f>W6*50%</f>
        <v>1.8450000000000002</v>
      </c>
      <c r="AY6" s="154">
        <f>X6*50%</f>
        <v>1.645</v>
      </c>
      <c r="AZ6" s="159">
        <f t="shared" ref="AZ6:AZ57" si="26">AX6+AY6</f>
        <v>3.49</v>
      </c>
      <c r="BA6" s="163">
        <f>(W6-X6)/W6</f>
        <v>0.1084010840108402</v>
      </c>
      <c r="BC6" s="86" t="s">
        <v>121</v>
      </c>
      <c r="BD6" s="86" t="s">
        <v>263</v>
      </c>
      <c r="BE6" s="87" t="s">
        <v>268</v>
      </c>
      <c r="BF6" s="87">
        <v>392558326113</v>
      </c>
      <c r="BG6" s="86" t="s">
        <v>269</v>
      </c>
      <c r="BH6" s="86">
        <v>2911</v>
      </c>
      <c r="BI6" s="86" t="s">
        <v>270</v>
      </c>
      <c r="BJ6" s="86">
        <v>12321150</v>
      </c>
      <c r="BK6" s="86" t="s">
        <v>271</v>
      </c>
      <c r="BL6" s="86" t="s">
        <v>108</v>
      </c>
    </row>
    <row r="7" spans="1:64" ht="14.25" customHeight="1" thickBot="1" x14ac:dyDescent="0.25">
      <c r="A7" s="51">
        <v>7.1999999999999995E-2</v>
      </c>
      <c r="B7" s="27">
        <f>VLOOKUP(F7,Planilha3!D:F,3,0)</f>
        <v>40.230639601668081</v>
      </c>
      <c r="C7" s="47">
        <f t="shared" si="21"/>
        <v>558.7588833565012</v>
      </c>
      <c r="D7" s="47" t="s">
        <v>82</v>
      </c>
      <c r="E7" s="47" t="s">
        <v>83</v>
      </c>
      <c r="F7" s="20">
        <v>905052</v>
      </c>
      <c r="G7" s="20">
        <v>1207152</v>
      </c>
      <c r="H7" s="11" t="s">
        <v>122</v>
      </c>
      <c r="I7" s="20">
        <v>12</v>
      </c>
      <c r="J7" s="20">
        <v>175</v>
      </c>
      <c r="K7" s="123">
        <f t="shared" si="0"/>
        <v>4200</v>
      </c>
      <c r="L7" s="125">
        <v>1400</v>
      </c>
      <c r="M7" s="178">
        <f t="shared" si="1"/>
        <v>8</v>
      </c>
      <c r="N7" s="84">
        <f t="shared" si="2"/>
        <v>0.33333333333333331</v>
      </c>
      <c r="O7" s="148">
        <v>47.28</v>
      </c>
      <c r="P7" s="135">
        <f t="shared" si="22"/>
        <v>3.94</v>
      </c>
      <c r="Q7" s="13">
        <f t="shared" si="3"/>
        <v>0.60000000000000009</v>
      </c>
      <c r="R7" s="13">
        <v>0.05</v>
      </c>
      <c r="S7" s="74">
        <f t="shared" si="4"/>
        <v>2.4000000000000004</v>
      </c>
      <c r="T7" s="74">
        <v>0.2</v>
      </c>
      <c r="U7" s="121">
        <f t="shared" si="23"/>
        <v>0.25</v>
      </c>
      <c r="V7" s="36">
        <f>VLOOKUP(F7,'[1]Proposta HNK para Tenda'!$F:$T,15,0)</f>
        <v>4.6900000000000004</v>
      </c>
      <c r="W7" s="36">
        <f>VLOOKUP(F7,'[1]Proposta HNK para Tenda'!$F:$U,16,0)</f>
        <v>4.49</v>
      </c>
      <c r="X7" s="36"/>
      <c r="Y7" s="45">
        <f t="shared" si="5"/>
        <v>4200.0000000000009</v>
      </c>
      <c r="Z7" s="8">
        <f t="shared" si="6"/>
        <v>66192</v>
      </c>
      <c r="AA7" s="32">
        <f>L7*12*0.355/100</f>
        <v>59.64</v>
      </c>
      <c r="AB7" s="43"/>
      <c r="AC7" s="44">
        <f t="shared" si="7"/>
        <v>0.16624650000000002</v>
      </c>
      <c r="AD7" s="39">
        <f t="shared" si="8"/>
        <v>0.25</v>
      </c>
      <c r="AE7" s="39">
        <f t="shared" si="24"/>
        <v>-8.3753499999999981E-2</v>
      </c>
      <c r="AG7" s="175">
        <v>21.03</v>
      </c>
      <c r="AH7" s="175">
        <f t="shared" si="9"/>
        <v>1254.2292</v>
      </c>
      <c r="AI7" s="175">
        <f t="shared" si="10"/>
        <v>7.4656500000000001E-2</v>
      </c>
      <c r="AJ7" s="175">
        <v>25.8</v>
      </c>
      <c r="AK7" s="175">
        <f t="shared" si="11"/>
        <v>1538.712</v>
      </c>
      <c r="AL7" s="175">
        <f t="shared" si="12"/>
        <v>9.1590000000000005E-2</v>
      </c>
      <c r="AM7" s="7">
        <v>0</v>
      </c>
      <c r="AN7" s="137">
        <f t="shared" si="13"/>
        <v>0</v>
      </c>
      <c r="AO7" s="137">
        <f t="shared" si="14"/>
        <v>0</v>
      </c>
      <c r="AP7" s="7">
        <f t="shared" si="15"/>
        <v>2792.9412000000002</v>
      </c>
      <c r="AQ7" s="7">
        <f t="shared" si="16"/>
        <v>0.16624650000000002</v>
      </c>
      <c r="AR7" s="40">
        <f t="shared" si="17"/>
        <v>4200.0000000000009</v>
      </c>
      <c r="AS7" s="40">
        <f t="shared" si="25"/>
        <v>-1407.0588000000007</v>
      </c>
      <c r="AT7" s="7">
        <f t="shared" si="18"/>
        <v>3.94</v>
      </c>
      <c r="AU7" s="40">
        <f t="shared" si="19"/>
        <v>3.69</v>
      </c>
      <c r="AV7" s="41">
        <f t="shared" si="20"/>
        <v>0.17817371937639204</v>
      </c>
      <c r="AX7" s="150">
        <f t="shared" ref="AX7:AX18" si="27">W7*100%</f>
        <v>4.49</v>
      </c>
      <c r="AY7" s="151">
        <f t="shared" ref="AY7:AY38" si="28">X7*50%</f>
        <v>0</v>
      </c>
      <c r="AZ7" s="160">
        <f t="shared" si="26"/>
        <v>4.49</v>
      </c>
      <c r="BA7" s="164"/>
      <c r="BC7" s="86" t="s">
        <v>106</v>
      </c>
      <c r="BD7" s="86" t="s">
        <v>263</v>
      </c>
      <c r="BE7" s="87" t="s">
        <v>264</v>
      </c>
      <c r="BF7" s="87">
        <v>387000650117</v>
      </c>
      <c r="BG7" s="86" t="s">
        <v>265</v>
      </c>
      <c r="BH7" s="86">
        <v>2222</v>
      </c>
      <c r="BI7" s="86" t="s">
        <v>266</v>
      </c>
      <c r="BJ7" s="86">
        <v>13312250</v>
      </c>
      <c r="BK7" s="86" t="s">
        <v>267</v>
      </c>
      <c r="BL7" s="86" t="s">
        <v>108</v>
      </c>
    </row>
    <row r="8" spans="1:64" ht="14.25" customHeight="1" thickBot="1" x14ac:dyDescent="0.25">
      <c r="A8" s="51">
        <f>0.275*12/100</f>
        <v>3.3000000000000002E-2</v>
      </c>
      <c r="B8" s="27" t="e">
        <f>VLOOKUP(F8,Planilha3!D:F,3,0)</f>
        <v>#N/A</v>
      </c>
      <c r="C8" s="47" t="e">
        <f t="shared" si="21"/>
        <v>#N/A</v>
      </c>
      <c r="D8" s="47" t="s">
        <v>82</v>
      </c>
      <c r="E8" s="47" t="s">
        <v>83</v>
      </c>
      <c r="F8" s="20">
        <v>904632</v>
      </c>
      <c r="G8" s="20">
        <v>1155684</v>
      </c>
      <c r="H8" s="11" t="s">
        <v>247</v>
      </c>
      <c r="I8" s="20">
        <v>12</v>
      </c>
      <c r="J8" s="20">
        <v>364</v>
      </c>
      <c r="K8" s="123">
        <f t="shared" si="0"/>
        <v>8736</v>
      </c>
      <c r="L8" s="125">
        <f>J8*2</f>
        <v>728</v>
      </c>
      <c r="M8" s="178">
        <f t="shared" si="1"/>
        <v>2</v>
      </c>
      <c r="N8" s="84">
        <f t="shared" si="2"/>
        <v>8.3333333333333329E-2</v>
      </c>
      <c r="O8" s="148">
        <v>39.26</v>
      </c>
      <c r="P8" s="135">
        <f t="shared" si="22"/>
        <v>3.2716666666666665</v>
      </c>
      <c r="Q8" s="13">
        <f t="shared" si="3"/>
        <v>1.2000000000000002</v>
      </c>
      <c r="R8" s="13">
        <v>0.1</v>
      </c>
      <c r="S8" s="74">
        <f t="shared" si="4"/>
        <v>1.56</v>
      </c>
      <c r="T8" s="74">
        <v>0.13</v>
      </c>
      <c r="U8" s="121">
        <f t="shared" si="23"/>
        <v>0.23</v>
      </c>
      <c r="V8" s="36">
        <v>3.99</v>
      </c>
      <c r="W8" s="36">
        <v>3.49</v>
      </c>
      <c r="X8" s="36"/>
      <c r="Y8" s="45">
        <f t="shared" si="5"/>
        <v>2009.2800000000002</v>
      </c>
      <c r="Z8" s="8">
        <f t="shared" si="6"/>
        <v>28581.279999999999</v>
      </c>
      <c r="AA8" s="32">
        <f>L8*12*0.275/100</f>
        <v>24.024000000000001</v>
      </c>
      <c r="AB8" s="43"/>
      <c r="AC8" s="44">
        <f t="shared" ref="AC8" si="29">SUM(AI8,AL8,AO8)</f>
        <v>0.23773750000000002</v>
      </c>
      <c r="AD8" s="39">
        <f t="shared" ref="AD8" si="30">SUM(R8,T8)</f>
        <v>0.23</v>
      </c>
      <c r="AE8" s="39">
        <f t="shared" ref="AE8" si="31">AC8-AD8</f>
        <v>7.7375000000000083E-3</v>
      </c>
      <c r="AG8" s="175">
        <v>86.45</v>
      </c>
      <c r="AH8" s="175">
        <f t="shared" si="9"/>
        <v>2076.8748000000001</v>
      </c>
      <c r="AI8" s="175">
        <f t="shared" si="10"/>
        <v>0.23773750000000002</v>
      </c>
      <c r="AJ8" s="137">
        <v>0</v>
      </c>
      <c r="AK8" s="137">
        <f t="shared" si="11"/>
        <v>0</v>
      </c>
      <c r="AL8" s="137">
        <f t="shared" si="12"/>
        <v>0</v>
      </c>
      <c r="AM8" s="7">
        <v>0</v>
      </c>
      <c r="AN8" s="137">
        <f t="shared" si="13"/>
        <v>0</v>
      </c>
      <c r="AO8" s="137">
        <f t="shared" si="14"/>
        <v>0</v>
      </c>
      <c r="AP8" s="7">
        <f t="shared" ref="AP8" si="32">SUM(AH8,AK8,AN8)</f>
        <v>2076.8748000000001</v>
      </c>
      <c r="AQ8" s="7">
        <f t="shared" ref="AQ8" si="33">SUM(AI8,AL8,AO8)</f>
        <v>0.23773750000000002</v>
      </c>
      <c r="AR8" s="40">
        <f t="shared" si="17"/>
        <v>2009.2800000000002</v>
      </c>
      <c r="AS8" s="40">
        <f t="shared" ref="AS8" si="34">AP8-AR8</f>
        <v>67.59479999999985</v>
      </c>
      <c r="AT8" s="7">
        <f t="shared" si="18"/>
        <v>3.2716666666666665</v>
      </c>
      <c r="AU8" s="40">
        <f t="shared" si="19"/>
        <v>3.0416666666666665</v>
      </c>
      <c r="AV8" s="41">
        <f t="shared" si="20"/>
        <v>0.12846227316141365</v>
      </c>
      <c r="AX8" s="150">
        <f t="shared" si="27"/>
        <v>3.49</v>
      </c>
      <c r="AY8" s="151">
        <f t="shared" si="28"/>
        <v>0</v>
      </c>
      <c r="AZ8" s="160">
        <f t="shared" si="26"/>
        <v>3.49</v>
      </c>
      <c r="BA8" s="164"/>
      <c r="BC8" s="86" t="s">
        <v>106</v>
      </c>
      <c r="BD8" s="86" t="s">
        <v>263</v>
      </c>
      <c r="BE8" s="87" t="s">
        <v>264</v>
      </c>
      <c r="BF8" s="87">
        <v>387000650117</v>
      </c>
      <c r="BG8" s="86" t="s">
        <v>265</v>
      </c>
      <c r="BH8" s="86">
        <v>2222</v>
      </c>
      <c r="BI8" s="86" t="s">
        <v>266</v>
      </c>
      <c r="BJ8" s="86">
        <v>13312250</v>
      </c>
      <c r="BK8" s="86" t="s">
        <v>267</v>
      </c>
      <c r="BL8" s="86" t="s">
        <v>108</v>
      </c>
    </row>
    <row r="9" spans="1:64" ht="14.25" customHeight="1" thickBot="1" x14ac:dyDescent="0.25">
      <c r="A9" s="51">
        <f>0.275*12/100</f>
        <v>3.3000000000000002E-2</v>
      </c>
      <c r="B9" s="27">
        <f>VLOOKUP(F9,Planilha3!D:F,3,0)</f>
        <v>7.6058014710560764</v>
      </c>
      <c r="C9" s="47">
        <f t="shared" si="21"/>
        <v>230.47883245624473</v>
      </c>
      <c r="D9" s="47" t="s">
        <v>82</v>
      </c>
      <c r="E9" s="47" t="s">
        <v>83</v>
      </c>
      <c r="F9" s="20">
        <v>904631</v>
      </c>
      <c r="G9" s="20">
        <v>1160860</v>
      </c>
      <c r="H9" s="11" t="s">
        <v>29</v>
      </c>
      <c r="I9" s="20">
        <v>12</v>
      </c>
      <c r="J9" s="20">
        <v>196</v>
      </c>
      <c r="K9" s="123">
        <f t="shared" si="0"/>
        <v>4704</v>
      </c>
      <c r="L9" s="125">
        <f>J9*5</f>
        <v>980</v>
      </c>
      <c r="M9" s="179">
        <f t="shared" si="1"/>
        <v>5</v>
      </c>
      <c r="N9" s="84">
        <f t="shared" si="2"/>
        <v>0.20833333333333334</v>
      </c>
      <c r="O9" s="148">
        <v>47.13</v>
      </c>
      <c r="P9" s="135">
        <f t="shared" si="22"/>
        <v>3.9275000000000002</v>
      </c>
      <c r="Q9" s="9">
        <f t="shared" si="3"/>
        <v>0</v>
      </c>
      <c r="R9" s="9">
        <v>0</v>
      </c>
      <c r="S9" s="29">
        <f t="shared" si="4"/>
        <v>0</v>
      </c>
      <c r="T9" s="29">
        <v>0</v>
      </c>
      <c r="U9" s="121">
        <f t="shared" si="23"/>
        <v>0</v>
      </c>
      <c r="V9" s="36">
        <f>VLOOKUP(F9,'[1]Proposta HNK para Tenda'!$F:$T,15,0)</f>
        <v>4.7900000000000009</v>
      </c>
      <c r="W9" s="36">
        <f>VLOOKUP(F9,'[1]Proposta HNK para Tenda'!$F:$U,16,0)</f>
        <v>4.7900000000000009</v>
      </c>
      <c r="X9" s="36"/>
      <c r="Y9" s="45">
        <f t="shared" si="5"/>
        <v>0</v>
      </c>
      <c r="Z9" s="8">
        <f t="shared" si="6"/>
        <v>46187.4</v>
      </c>
      <c r="AA9" s="32">
        <f>L9*12*0.275/100</f>
        <v>32.340000000000003</v>
      </c>
      <c r="AB9" s="43"/>
      <c r="AC9" s="44">
        <f t="shared" si="7"/>
        <v>0</v>
      </c>
      <c r="AD9" s="39">
        <f t="shared" si="8"/>
        <v>0</v>
      </c>
      <c r="AE9" s="39">
        <f t="shared" si="24"/>
        <v>0</v>
      </c>
      <c r="AG9" s="137">
        <v>0</v>
      </c>
      <c r="AH9" s="7">
        <f t="shared" si="9"/>
        <v>0</v>
      </c>
      <c r="AI9" s="7">
        <f t="shared" si="10"/>
        <v>0</v>
      </c>
      <c r="AJ9" s="7"/>
      <c r="AK9" s="7">
        <f t="shared" si="11"/>
        <v>0</v>
      </c>
      <c r="AL9" s="7">
        <f t="shared" si="12"/>
        <v>0</v>
      </c>
      <c r="AM9" s="7">
        <v>0</v>
      </c>
      <c r="AN9" s="137">
        <f t="shared" si="13"/>
        <v>0</v>
      </c>
      <c r="AO9" s="137">
        <f t="shared" si="14"/>
        <v>0</v>
      </c>
      <c r="AP9" s="7">
        <f t="shared" si="15"/>
        <v>0</v>
      </c>
      <c r="AQ9" s="7">
        <f t="shared" si="16"/>
        <v>0</v>
      </c>
      <c r="AR9" s="40">
        <f t="shared" si="17"/>
        <v>0</v>
      </c>
      <c r="AS9" s="40">
        <f t="shared" si="25"/>
        <v>0</v>
      </c>
      <c r="AT9" s="7">
        <f t="shared" si="18"/>
        <v>3.9275000000000002</v>
      </c>
      <c r="AU9" s="40">
        <f t="shared" si="19"/>
        <v>3.9275000000000002</v>
      </c>
      <c r="AV9" s="41">
        <f t="shared" si="20"/>
        <v>0.18006263048016713</v>
      </c>
      <c r="AX9" s="150">
        <f t="shared" si="27"/>
        <v>4.7900000000000009</v>
      </c>
      <c r="AY9" s="151">
        <f t="shared" si="28"/>
        <v>0</v>
      </c>
      <c r="AZ9" s="160">
        <f t="shared" si="26"/>
        <v>4.7900000000000009</v>
      </c>
      <c r="BA9" s="164"/>
      <c r="BC9" s="86" t="s">
        <v>106</v>
      </c>
      <c r="BD9" s="86" t="s">
        <v>263</v>
      </c>
      <c r="BE9" s="87" t="s">
        <v>264</v>
      </c>
      <c r="BF9" s="87">
        <v>387000650117</v>
      </c>
      <c r="BG9" s="86" t="s">
        <v>265</v>
      </c>
      <c r="BH9" s="86">
        <v>2222</v>
      </c>
      <c r="BI9" s="86" t="s">
        <v>266</v>
      </c>
      <c r="BJ9" s="86">
        <v>13312250</v>
      </c>
      <c r="BK9" s="86" t="s">
        <v>267</v>
      </c>
      <c r="BL9" s="86" t="s">
        <v>108</v>
      </c>
    </row>
    <row r="10" spans="1:64" ht="14.25" customHeight="1" thickBot="1" x14ac:dyDescent="0.25">
      <c r="A10" s="50">
        <v>3.2280000000000003E-2</v>
      </c>
      <c r="B10" s="27">
        <f>VLOOKUP(F10,Planilha3!D:F,3,0)</f>
        <v>113.71404514006571</v>
      </c>
      <c r="C10" s="47">
        <f t="shared" si="21"/>
        <v>3522.7399361854305</v>
      </c>
      <c r="D10" s="47" t="s">
        <v>74</v>
      </c>
      <c r="E10" s="47" t="s">
        <v>79</v>
      </c>
      <c r="F10" s="20">
        <v>904194</v>
      </c>
      <c r="G10" s="20">
        <v>1153719</v>
      </c>
      <c r="H10" s="11" t="s">
        <v>12</v>
      </c>
      <c r="I10" s="20">
        <v>12</v>
      </c>
      <c r="J10" s="20">
        <v>364</v>
      </c>
      <c r="K10" s="123">
        <f t="shared" si="0"/>
        <v>8736</v>
      </c>
      <c r="L10" s="125">
        <v>17472</v>
      </c>
      <c r="M10" s="179">
        <f t="shared" si="1"/>
        <v>48</v>
      </c>
      <c r="N10" s="84">
        <f t="shared" si="2"/>
        <v>2</v>
      </c>
      <c r="O10" s="148">
        <v>31.52</v>
      </c>
      <c r="P10" s="135">
        <f t="shared" si="22"/>
        <v>2.6266666666666665</v>
      </c>
      <c r="Q10" s="9">
        <f t="shared" si="3"/>
        <v>0</v>
      </c>
      <c r="R10" s="9">
        <v>0</v>
      </c>
      <c r="S10" s="29">
        <f t="shared" si="4"/>
        <v>0</v>
      </c>
      <c r="T10" s="29">
        <v>0</v>
      </c>
      <c r="U10" s="121">
        <f t="shared" si="23"/>
        <v>0</v>
      </c>
      <c r="V10" s="36">
        <v>3.0900000000000003</v>
      </c>
      <c r="W10" s="36">
        <v>3.0900000000000003</v>
      </c>
      <c r="X10" s="36"/>
      <c r="Y10" s="45">
        <f t="shared" si="5"/>
        <v>0</v>
      </c>
      <c r="Z10" s="8">
        <f t="shared" si="6"/>
        <v>550717.43999999994</v>
      </c>
      <c r="AA10" s="32">
        <f>L10*12*0.269/100</f>
        <v>563.99616000000003</v>
      </c>
      <c r="AB10" s="43"/>
      <c r="AC10" s="44">
        <f t="shared" si="7"/>
        <v>0</v>
      </c>
      <c r="AD10" s="39">
        <f t="shared" si="8"/>
        <v>0</v>
      </c>
      <c r="AE10" s="39">
        <f t="shared" si="24"/>
        <v>0</v>
      </c>
      <c r="AG10" s="137">
        <v>0</v>
      </c>
      <c r="AH10" s="137">
        <f t="shared" si="9"/>
        <v>0</v>
      </c>
      <c r="AI10" s="137">
        <f t="shared" si="10"/>
        <v>0</v>
      </c>
      <c r="AJ10" s="7"/>
      <c r="AK10" s="7">
        <f t="shared" si="11"/>
        <v>0</v>
      </c>
      <c r="AL10" s="7">
        <f t="shared" si="12"/>
        <v>0</v>
      </c>
      <c r="AM10" s="143">
        <v>0</v>
      </c>
      <c r="AN10" s="143">
        <f t="shared" si="13"/>
        <v>0</v>
      </c>
      <c r="AO10" s="143">
        <f t="shared" si="14"/>
        <v>0</v>
      </c>
      <c r="AP10" s="7">
        <f t="shared" si="15"/>
        <v>0</v>
      </c>
      <c r="AQ10" s="7">
        <f t="shared" si="16"/>
        <v>0</v>
      </c>
      <c r="AR10" s="40">
        <f t="shared" si="17"/>
        <v>0</v>
      </c>
      <c r="AS10" s="40">
        <f t="shared" si="25"/>
        <v>0</v>
      </c>
      <c r="AT10" s="7">
        <f t="shared" si="18"/>
        <v>2.6266666666666665</v>
      </c>
      <c r="AU10" s="40">
        <f t="shared" si="19"/>
        <v>2.6266666666666665</v>
      </c>
      <c r="AV10" s="41">
        <f t="shared" si="20"/>
        <v>0.14994606256742193</v>
      </c>
      <c r="AX10" s="150">
        <f t="shared" si="27"/>
        <v>3.0900000000000003</v>
      </c>
      <c r="AY10" s="151">
        <f t="shared" si="28"/>
        <v>0</v>
      </c>
      <c r="AZ10" s="160">
        <f t="shared" si="26"/>
        <v>3.0900000000000003</v>
      </c>
      <c r="BA10" s="164"/>
      <c r="BC10" s="86" t="s">
        <v>106</v>
      </c>
      <c r="BD10" s="86" t="s">
        <v>263</v>
      </c>
      <c r="BE10" s="87" t="s">
        <v>264</v>
      </c>
      <c r="BF10" s="87">
        <v>387000650117</v>
      </c>
      <c r="BG10" s="86" t="s">
        <v>265</v>
      </c>
      <c r="BH10" s="86">
        <v>2222</v>
      </c>
      <c r="BI10" s="86" t="s">
        <v>266</v>
      </c>
      <c r="BJ10" s="86">
        <v>13312250</v>
      </c>
      <c r="BK10" s="86" t="s">
        <v>267</v>
      </c>
      <c r="BL10" s="86" t="s">
        <v>108</v>
      </c>
    </row>
    <row r="11" spans="1:64" ht="14.25" customHeight="1" thickBot="1" x14ac:dyDescent="0.25">
      <c r="A11" s="51">
        <v>4.2000000000000003E-2</v>
      </c>
      <c r="B11" s="27">
        <f>VLOOKUP(F11,Planilha3!D:F,3,0)</f>
        <v>719.1538244488064</v>
      </c>
      <c r="C11" s="47">
        <f t="shared" si="21"/>
        <v>17122.710105923961</v>
      </c>
      <c r="D11" s="47" t="s">
        <v>74</v>
      </c>
      <c r="E11" s="47" t="s">
        <v>79</v>
      </c>
      <c r="F11" s="20">
        <v>903750</v>
      </c>
      <c r="G11" s="20">
        <v>1055249</v>
      </c>
      <c r="H11" s="11" t="s">
        <v>11</v>
      </c>
      <c r="I11" s="20">
        <v>12</v>
      </c>
      <c r="J11" s="20">
        <v>280</v>
      </c>
      <c r="K11" s="123">
        <f t="shared" si="0"/>
        <v>6720</v>
      </c>
      <c r="L11" s="125">
        <v>20160</v>
      </c>
      <c r="M11" s="179">
        <f t="shared" si="1"/>
        <v>72</v>
      </c>
      <c r="N11" s="84">
        <f t="shared" si="2"/>
        <v>3</v>
      </c>
      <c r="O11" s="148">
        <v>40.700000000000003</v>
      </c>
      <c r="P11" s="135">
        <f t="shared" si="22"/>
        <v>3.3916666666666671</v>
      </c>
      <c r="Q11" s="13">
        <f t="shared" si="3"/>
        <v>0</v>
      </c>
      <c r="R11" s="13">
        <v>0</v>
      </c>
      <c r="S11" s="74">
        <f t="shared" si="4"/>
        <v>0</v>
      </c>
      <c r="T11" s="74">
        <v>0</v>
      </c>
      <c r="U11" s="121">
        <f t="shared" si="23"/>
        <v>0</v>
      </c>
      <c r="V11" s="36">
        <v>3.99</v>
      </c>
      <c r="W11" s="36">
        <v>3.99</v>
      </c>
      <c r="X11" s="36"/>
      <c r="Y11" s="45">
        <f t="shared" si="5"/>
        <v>0</v>
      </c>
      <c r="Z11" s="8">
        <f t="shared" si="6"/>
        <v>820512</v>
      </c>
      <c r="AA11" s="32">
        <f>L11*12*0.35/100</f>
        <v>846.72</v>
      </c>
      <c r="AB11" s="43"/>
      <c r="AC11" s="44">
        <f t="shared" si="7"/>
        <v>0</v>
      </c>
      <c r="AD11" s="39">
        <f t="shared" si="8"/>
        <v>0</v>
      </c>
      <c r="AE11" s="39">
        <f t="shared" si="24"/>
        <v>0</v>
      </c>
      <c r="AG11" s="137">
        <v>0</v>
      </c>
      <c r="AH11" s="137">
        <f t="shared" si="9"/>
        <v>0</v>
      </c>
      <c r="AI11" s="137">
        <f t="shared" si="10"/>
        <v>0</v>
      </c>
      <c r="AJ11" s="7"/>
      <c r="AK11" s="7">
        <f t="shared" si="11"/>
        <v>0</v>
      </c>
      <c r="AL11" s="7">
        <f t="shared" si="12"/>
        <v>0</v>
      </c>
      <c r="AM11" s="143">
        <v>0</v>
      </c>
      <c r="AN11" s="143">
        <f t="shared" si="13"/>
        <v>0</v>
      </c>
      <c r="AO11" s="143">
        <f t="shared" si="14"/>
        <v>0</v>
      </c>
      <c r="AP11" s="7">
        <f t="shared" si="15"/>
        <v>0</v>
      </c>
      <c r="AQ11" s="7">
        <f t="shared" si="16"/>
        <v>0</v>
      </c>
      <c r="AR11" s="40">
        <f t="shared" si="17"/>
        <v>0</v>
      </c>
      <c r="AS11" s="40">
        <f t="shared" si="25"/>
        <v>0</v>
      </c>
      <c r="AT11" s="7">
        <f t="shared" si="18"/>
        <v>3.3916666666666671</v>
      </c>
      <c r="AU11" s="40">
        <f t="shared" si="19"/>
        <v>3.3916666666666671</v>
      </c>
      <c r="AV11" s="41">
        <f t="shared" si="20"/>
        <v>0.14995822890559726</v>
      </c>
      <c r="AX11" s="150">
        <f t="shared" si="27"/>
        <v>3.99</v>
      </c>
      <c r="AY11" s="151">
        <f t="shared" si="28"/>
        <v>0</v>
      </c>
      <c r="AZ11" s="160">
        <f t="shared" si="26"/>
        <v>3.99</v>
      </c>
      <c r="BA11" s="164"/>
      <c r="BC11" s="86" t="s">
        <v>106</v>
      </c>
      <c r="BD11" s="86" t="s">
        <v>263</v>
      </c>
      <c r="BE11" s="87" t="s">
        <v>264</v>
      </c>
      <c r="BF11" s="87">
        <v>387000650117</v>
      </c>
      <c r="BG11" s="86" t="s">
        <v>265</v>
      </c>
      <c r="BH11" s="86">
        <v>2222</v>
      </c>
      <c r="BI11" s="86" t="s">
        <v>266</v>
      </c>
      <c r="BJ11" s="86">
        <v>13312250</v>
      </c>
      <c r="BK11" s="86" t="s">
        <v>267</v>
      </c>
      <c r="BL11" s="86" t="s">
        <v>108</v>
      </c>
    </row>
    <row r="12" spans="1:64" ht="14.25" customHeight="1" thickBot="1" x14ac:dyDescent="0.25">
      <c r="A12" s="50">
        <v>4.2599999999999999E-2</v>
      </c>
      <c r="B12" s="27">
        <f>VLOOKUP(F12,Planilha3!D:F,3,0)</f>
        <v>44.325776915420867</v>
      </c>
      <c r="C12" s="47">
        <f t="shared" si="21"/>
        <v>1040.511195197673</v>
      </c>
      <c r="D12" s="47" t="s">
        <v>74</v>
      </c>
      <c r="E12" s="47" t="s">
        <v>79</v>
      </c>
      <c r="F12" s="20">
        <v>901781</v>
      </c>
      <c r="G12" s="20">
        <v>1016972</v>
      </c>
      <c r="H12" s="11" t="s">
        <v>10</v>
      </c>
      <c r="I12" s="20">
        <v>12</v>
      </c>
      <c r="J12" s="20">
        <v>175</v>
      </c>
      <c r="K12" s="123">
        <f t="shared" si="0"/>
        <v>4200</v>
      </c>
      <c r="L12" s="125">
        <f>J12*10</f>
        <v>1750</v>
      </c>
      <c r="M12" s="179">
        <f t="shared" si="1"/>
        <v>10</v>
      </c>
      <c r="N12" s="84">
        <f t="shared" si="2"/>
        <v>0.41666666666666669</v>
      </c>
      <c r="O12" s="148">
        <v>51.92</v>
      </c>
      <c r="P12" s="135">
        <f t="shared" si="22"/>
        <v>4.3266666666666671</v>
      </c>
      <c r="Q12" s="13">
        <f t="shared" si="3"/>
        <v>3</v>
      </c>
      <c r="R12" s="13">
        <v>0.25</v>
      </c>
      <c r="S12" s="74">
        <f t="shared" si="4"/>
        <v>0.36</v>
      </c>
      <c r="T12" s="74">
        <v>0.03</v>
      </c>
      <c r="U12" s="121">
        <f t="shared" si="23"/>
        <v>0.28000000000000003</v>
      </c>
      <c r="V12" s="36">
        <v>5.0900000000000007</v>
      </c>
      <c r="W12" s="36">
        <v>4.1900000000000004</v>
      </c>
      <c r="X12" s="36"/>
      <c r="Y12" s="45">
        <f t="shared" si="5"/>
        <v>5880</v>
      </c>
      <c r="Z12" s="8">
        <f t="shared" si="6"/>
        <v>90860</v>
      </c>
      <c r="AA12" s="32">
        <f>L12*12*0.355/100</f>
        <v>74.55</v>
      </c>
      <c r="AB12" s="43"/>
      <c r="AC12" s="44">
        <f t="shared" si="7"/>
        <v>0.28826000000000002</v>
      </c>
      <c r="AD12" s="39">
        <f t="shared" si="8"/>
        <v>0.28000000000000003</v>
      </c>
      <c r="AE12" s="39">
        <f t="shared" si="24"/>
        <v>8.2599999999999896E-3</v>
      </c>
      <c r="AG12" s="175">
        <v>81.2</v>
      </c>
      <c r="AH12" s="175">
        <f t="shared" si="9"/>
        <v>6053.46</v>
      </c>
      <c r="AI12" s="175">
        <f t="shared" si="10"/>
        <v>0.28826000000000002</v>
      </c>
      <c r="AJ12" s="7"/>
      <c r="AK12" s="7">
        <f t="shared" si="11"/>
        <v>0</v>
      </c>
      <c r="AL12" s="7">
        <f t="shared" si="12"/>
        <v>0</v>
      </c>
      <c r="AM12" s="7">
        <v>0</v>
      </c>
      <c r="AN12" s="137">
        <f t="shared" si="13"/>
        <v>0</v>
      </c>
      <c r="AO12" s="137">
        <f t="shared" si="14"/>
        <v>0</v>
      </c>
      <c r="AP12" s="7">
        <f t="shared" si="15"/>
        <v>6053.46</v>
      </c>
      <c r="AQ12" s="7">
        <f t="shared" si="16"/>
        <v>0.28826000000000002</v>
      </c>
      <c r="AR12" s="40">
        <f t="shared" si="17"/>
        <v>5880</v>
      </c>
      <c r="AS12" s="40">
        <f t="shared" si="25"/>
        <v>173.46000000000004</v>
      </c>
      <c r="AT12" s="7">
        <f t="shared" si="18"/>
        <v>4.3266666666666671</v>
      </c>
      <c r="AU12" s="40">
        <f t="shared" si="19"/>
        <v>4.0466666666666669</v>
      </c>
      <c r="AV12" s="41">
        <f t="shared" si="20"/>
        <v>3.4208432776451914E-2</v>
      </c>
      <c r="AX12" s="150">
        <f t="shared" si="27"/>
        <v>4.1900000000000004</v>
      </c>
      <c r="AY12" s="151">
        <f t="shared" si="28"/>
        <v>0</v>
      </c>
      <c r="AZ12" s="160">
        <f t="shared" si="26"/>
        <v>4.1900000000000004</v>
      </c>
      <c r="BA12" s="164"/>
      <c r="BC12" s="86" t="s">
        <v>106</v>
      </c>
      <c r="BD12" s="86" t="s">
        <v>263</v>
      </c>
      <c r="BE12" s="87" t="s">
        <v>264</v>
      </c>
      <c r="BF12" s="87">
        <v>387000650117</v>
      </c>
      <c r="BG12" s="86" t="s">
        <v>265</v>
      </c>
      <c r="BH12" s="86">
        <v>2222</v>
      </c>
      <c r="BI12" s="86" t="s">
        <v>266</v>
      </c>
      <c r="BJ12" s="86">
        <v>13312250</v>
      </c>
      <c r="BK12" s="86" t="s">
        <v>267</v>
      </c>
      <c r="BL12" s="86" t="s">
        <v>108</v>
      </c>
    </row>
    <row r="13" spans="1:64" ht="14.25" customHeight="1" thickBot="1" x14ac:dyDescent="0.25">
      <c r="A13" s="51">
        <v>4.2000000000000003E-2</v>
      </c>
      <c r="B13" s="27">
        <f>VLOOKUP(F13,Planilha3!D:F,3,0)</f>
        <v>32.202739533816178</v>
      </c>
      <c r="C13" s="47">
        <f t="shared" si="21"/>
        <v>766.73189366228996</v>
      </c>
      <c r="D13" s="47" t="s">
        <v>74</v>
      </c>
      <c r="E13" s="47" t="s">
        <v>79</v>
      </c>
      <c r="F13" s="20">
        <v>904772</v>
      </c>
      <c r="G13" s="20">
        <v>1170146</v>
      </c>
      <c r="H13" s="11" t="s">
        <v>9</v>
      </c>
      <c r="I13" s="20">
        <v>12</v>
      </c>
      <c r="J13" s="20">
        <v>280</v>
      </c>
      <c r="K13" s="123">
        <f t="shared" si="0"/>
        <v>6720</v>
      </c>
      <c r="L13" s="125">
        <f>K13*1</f>
        <v>6720</v>
      </c>
      <c r="M13" s="179">
        <f t="shared" si="1"/>
        <v>24</v>
      </c>
      <c r="N13" s="84">
        <f t="shared" si="2"/>
        <v>1</v>
      </c>
      <c r="O13" s="148">
        <v>40.700000000000003</v>
      </c>
      <c r="P13" s="135">
        <f t="shared" si="22"/>
        <v>3.3916666666666671</v>
      </c>
      <c r="Q13" s="9">
        <f t="shared" si="3"/>
        <v>0</v>
      </c>
      <c r="R13" s="9">
        <v>0</v>
      </c>
      <c r="S13" s="74">
        <f t="shared" si="4"/>
        <v>0</v>
      </c>
      <c r="T13" s="74">
        <v>0</v>
      </c>
      <c r="U13" s="121">
        <f t="shared" si="23"/>
        <v>0</v>
      </c>
      <c r="V13" s="36">
        <v>3.99</v>
      </c>
      <c r="W13" s="36">
        <v>3.99</v>
      </c>
      <c r="X13" s="36"/>
      <c r="Y13" s="45">
        <f t="shared" si="5"/>
        <v>0</v>
      </c>
      <c r="Z13" s="8">
        <f t="shared" si="6"/>
        <v>273504</v>
      </c>
      <c r="AA13" s="32">
        <f>L13*12*0.35/100</f>
        <v>282.24</v>
      </c>
      <c r="AB13" s="43"/>
      <c r="AC13" s="44">
        <f t="shared" si="7"/>
        <v>0</v>
      </c>
      <c r="AD13" s="39">
        <f t="shared" si="8"/>
        <v>0</v>
      </c>
      <c r="AE13" s="39">
        <f t="shared" si="24"/>
        <v>0</v>
      </c>
      <c r="AG13" s="137">
        <v>0</v>
      </c>
      <c r="AH13" s="137">
        <f t="shared" si="9"/>
        <v>0</v>
      </c>
      <c r="AI13" s="137">
        <f t="shared" si="10"/>
        <v>0</v>
      </c>
      <c r="AJ13" s="7"/>
      <c r="AK13" s="7">
        <f t="shared" si="11"/>
        <v>0</v>
      </c>
      <c r="AL13" s="7">
        <f t="shared" si="12"/>
        <v>0</v>
      </c>
      <c r="AM13" s="143">
        <v>0</v>
      </c>
      <c r="AN13" s="143">
        <f t="shared" si="13"/>
        <v>0</v>
      </c>
      <c r="AO13" s="143">
        <f t="shared" si="14"/>
        <v>0</v>
      </c>
      <c r="AP13" s="7">
        <f t="shared" si="15"/>
        <v>0</v>
      </c>
      <c r="AQ13" s="7">
        <f t="shared" si="16"/>
        <v>0</v>
      </c>
      <c r="AR13" s="40">
        <f t="shared" si="17"/>
        <v>0</v>
      </c>
      <c r="AS13" s="40">
        <f t="shared" si="25"/>
        <v>0</v>
      </c>
      <c r="AT13" s="7">
        <f t="shared" si="18"/>
        <v>3.3916666666666671</v>
      </c>
      <c r="AU13" s="40">
        <f t="shared" si="19"/>
        <v>3.3916666666666671</v>
      </c>
      <c r="AV13" s="41">
        <f t="shared" si="20"/>
        <v>0.14995822890559726</v>
      </c>
      <c r="AX13" s="150">
        <f t="shared" si="27"/>
        <v>3.99</v>
      </c>
      <c r="AY13" s="151">
        <f t="shared" si="28"/>
        <v>0</v>
      </c>
      <c r="AZ13" s="160">
        <f t="shared" si="26"/>
        <v>3.99</v>
      </c>
      <c r="BA13" s="164"/>
      <c r="BC13" s="86" t="s">
        <v>106</v>
      </c>
      <c r="BD13" s="86" t="s">
        <v>263</v>
      </c>
      <c r="BE13" s="87" t="s">
        <v>264</v>
      </c>
      <c r="BF13" s="87">
        <v>387000650117</v>
      </c>
      <c r="BG13" s="86" t="s">
        <v>265</v>
      </c>
      <c r="BH13" s="86">
        <v>2222</v>
      </c>
      <c r="BI13" s="86" t="s">
        <v>266</v>
      </c>
      <c r="BJ13" s="86">
        <v>13312250</v>
      </c>
      <c r="BK13" s="86" t="s">
        <v>267</v>
      </c>
      <c r="BL13" s="86" t="s">
        <v>108</v>
      </c>
    </row>
    <row r="14" spans="1:64" ht="14.25" customHeight="1" thickBot="1" x14ac:dyDescent="0.25">
      <c r="A14" s="50">
        <v>4.2599999999999999E-2</v>
      </c>
      <c r="B14" s="27">
        <f>VLOOKUP(F14,Planilha3!D:F,3,0)</f>
        <v>1.8908876264095478</v>
      </c>
      <c r="C14" s="47">
        <f t="shared" si="21"/>
        <v>44.387033483792202</v>
      </c>
      <c r="D14" s="47" t="s">
        <v>74</v>
      </c>
      <c r="E14" s="47" t="s">
        <v>79</v>
      </c>
      <c r="F14" s="20">
        <v>904771</v>
      </c>
      <c r="G14" s="20">
        <v>1170180</v>
      </c>
      <c r="H14" s="11" t="s">
        <v>8</v>
      </c>
      <c r="I14" s="20">
        <v>12</v>
      </c>
      <c r="J14" s="20">
        <v>175</v>
      </c>
      <c r="K14" s="123">
        <f t="shared" si="0"/>
        <v>4200</v>
      </c>
      <c r="L14" s="125">
        <f>K14*1</f>
        <v>4200</v>
      </c>
      <c r="M14" s="178">
        <f t="shared" si="1"/>
        <v>24</v>
      </c>
      <c r="N14" s="84">
        <f t="shared" si="2"/>
        <v>1</v>
      </c>
      <c r="O14" s="148">
        <v>51.92</v>
      </c>
      <c r="P14" s="135">
        <f t="shared" si="22"/>
        <v>4.3266666666666671</v>
      </c>
      <c r="Q14" s="13">
        <f t="shared" si="3"/>
        <v>3</v>
      </c>
      <c r="R14" s="13">
        <v>0.25</v>
      </c>
      <c r="S14" s="74">
        <f t="shared" si="4"/>
        <v>0.36</v>
      </c>
      <c r="T14" s="74">
        <v>0.03</v>
      </c>
      <c r="U14" s="121">
        <f t="shared" si="23"/>
        <v>0.28000000000000003</v>
      </c>
      <c r="V14" s="139">
        <v>5.0900000000000007</v>
      </c>
      <c r="W14" s="139">
        <v>4.1900000000000004</v>
      </c>
      <c r="X14" s="139"/>
      <c r="Y14" s="140">
        <f t="shared" si="5"/>
        <v>14112</v>
      </c>
      <c r="Z14" s="141">
        <f t="shared" si="6"/>
        <v>218064</v>
      </c>
      <c r="AA14" s="32">
        <f>L14*12*0.355/100</f>
        <v>178.92</v>
      </c>
      <c r="AB14" s="43"/>
      <c r="AC14" s="44">
        <f t="shared" si="7"/>
        <v>0.28826000000000002</v>
      </c>
      <c r="AD14" s="39">
        <f t="shared" si="8"/>
        <v>0.28000000000000003</v>
      </c>
      <c r="AE14" s="39">
        <f t="shared" si="24"/>
        <v>8.2599999999999896E-3</v>
      </c>
      <c r="AG14" s="175">
        <v>81.2</v>
      </c>
      <c r="AH14" s="175">
        <f t="shared" si="9"/>
        <v>14528.304</v>
      </c>
      <c r="AI14" s="175">
        <f t="shared" si="10"/>
        <v>0.28826000000000002</v>
      </c>
      <c r="AJ14" s="7"/>
      <c r="AK14" s="7">
        <f t="shared" si="11"/>
        <v>0</v>
      </c>
      <c r="AL14" s="7">
        <f t="shared" si="12"/>
        <v>0</v>
      </c>
      <c r="AM14" s="7">
        <v>0</v>
      </c>
      <c r="AN14" s="142">
        <f t="shared" si="13"/>
        <v>0</v>
      </c>
      <c r="AO14" s="142">
        <f t="shared" si="14"/>
        <v>0</v>
      </c>
      <c r="AP14" s="7">
        <f t="shared" si="15"/>
        <v>14528.304</v>
      </c>
      <c r="AQ14" s="7">
        <f t="shared" si="16"/>
        <v>0.28826000000000002</v>
      </c>
      <c r="AR14" s="40">
        <f t="shared" si="17"/>
        <v>14112</v>
      </c>
      <c r="AS14" s="40">
        <f t="shared" si="25"/>
        <v>416.30400000000009</v>
      </c>
      <c r="AT14" s="7">
        <f t="shared" si="18"/>
        <v>4.3266666666666671</v>
      </c>
      <c r="AU14" s="40">
        <f t="shared" si="19"/>
        <v>4.0466666666666669</v>
      </c>
      <c r="AV14" s="41">
        <f t="shared" si="20"/>
        <v>3.4208432776451914E-2</v>
      </c>
      <c r="AX14" s="150">
        <f t="shared" si="27"/>
        <v>4.1900000000000004</v>
      </c>
      <c r="AY14" s="151">
        <f t="shared" si="28"/>
        <v>0</v>
      </c>
      <c r="AZ14" s="160">
        <f t="shared" si="26"/>
        <v>4.1900000000000004</v>
      </c>
      <c r="BA14" s="164"/>
      <c r="BC14" s="86" t="s">
        <v>106</v>
      </c>
      <c r="BD14" s="86" t="s">
        <v>263</v>
      </c>
      <c r="BE14" s="87" t="s">
        <v>264</v>
      </c>
      <c r="BF14" s="87">
        <v>387000650117</v>
      </c>
      <c r="BG14" s="86" t="s">
        <v>265</v>
      </c>
      <c r="BH14" s="86">
        <v>2222</v>
      </c>
      <c r="BI14" s="86" t="s">
        <v>266</v>
      </c>
      <c r="BJ14" s="86">
        <v>13312250</v>
      </c>
      <c r="BK14" s="86" t="s">
        <v>267</v>
      </c>
      <c r="BL14" s="86" t="s">
        <v>108</v>
      </c>
    </row>
    <row r="15" spans="1:64" ht="14.25" customHeight="1" thickBot="1" x14ac:dyDescent="0.25">
      <c r="A15" s="52">
        <f>0.269*8/100</f>
        <v>2.1520000000000001E-2</v>
      </c>
      <c r="B15" s="27">
        <f>VLOOKUP(F15,Planilha3!D:F,3,0)</f>
        <v>105.66936558057154</v>
      </c>
      <c r="C15" s="47">
        <f t="shared" ref="C15:C57" si="35">B15/A15</f>
        <v>4910.2865046733987</v>
      </c>
      <c r="D15" s="47" t="s">
        <v>74</v>
      </c>
      <c r="E15" s="47" t="s">
        <v>75</v>
      </c>
      <c r="F15" s="20">
        <v>904895</v>
      </c>
      <c r="G15" s="20">
        <v>1208101</v>
      </c>
      <c r="H15" s="11" t="s">
        <v>64</v>
      </c>
      <c r="I15" s="20">
        <v>8</v>
      </c>
      <c r="J15" s="20">
        <v>520</v>
      </c>
      <c r="K15" s="123">
        <f t="shared" ref="K15:K22" si="36">J15*26</f>
        <v>13520</v>
      </c>
      <c r="L15" s="125">
        <v>40560</v>
      </c>
      <c r="M15" s="179">
        <f t="shared" si="1"/>
        <v>78</v>
      </c>
      <c r="N15" s="84">
        <f t="shared" si="2"/>
        <v>3</v>
      </c>
      <c r="O15" s="148">
        <v>31.21</v>
      </c>
      <c r="P15" s="135">
        <f t="shared" si="22"/>
        <v>3.9012500000000001</v>
      </c>
      <c r="Q15" s="13">
        <f t="shared" si="3"/>
        <v>0.8</v>
      </c>
      <c r="R15" s="13">
        <v>0.1</v>
      </c>
      <c r="S15" s="74">
        <f t="shared" si="4"/>
        <v>0.64</v>
      </c>
      <c r="T15" s="74">
        <v>0.08</v>
      </c>
      <c r="U15" s="121">
        <f t="shared" si="23"/>
        <v>0.18</v>
      </c>
      <c r="V15" s="36">
        <f>VLOOKUP(F15,'[1]Proposta HNK para Tenda'!$F:$T,15,0)</f>
        <v>4.59</v>
      </c>
      <c r="W15" s="36">
        <f>VLOOKUP(F15,'[1]Proposta HNK para Tenda'!$F:$U,16,0)</f>
        <v>3.99</v>
      </c>
      <c r="X15" s="36"/>
      <c r="Y15" s="45">
        <f t="shared" si="5"/>
        <v>58406.400000000001</v>
      </c>
      <c r="Z15" s="8">
        <f t="shared" si="6"/>
        <v>1265877.6000000001</v>
      </c>
      <c r="AA15" s="32">
        <f>L15*8*0.269/100</f>
        <v>872.85120000000006</v>
      </c>
      <c r="AB15" s="43"/>
      <c r="AC15" s="44">
        <f t="shared" si="7"/>
        <v>0.19055960000000002</v>
      </c>
      <c r="AD15" s="39">
        <f t="shared" si="8"/>
        <v>0.18</v>
      </c>
      <c r="AE15" s="39">
        <f t="shared" ref="AE15:AE57" si="37">AC15-AD15</f>
        <v>1.055960000000003E-2</v>
      </c>
      <c r="AG15" s="175">
        <v>70.84</v>
      </c>
      <c r="AH15" s="175">
        <f t="shared" si="9"/>
        <v>61832.779008000005</v>
      </c>
      <c r="AI15" s="175">
        <f t="shared" si="10"/>
        <v>0.19055960000000002</v>
      </c>
      <c r="AJ15" s="7"/>
      <c r="AK15" s="7">
        <f t="shared" si="11"/>
        <v>0</v>
      </c>
      <c r="AL15" s="7">
        <f t="shared" si="12"/>
        <v>0</v>
      </c>
      <c r="AM15" s="7">
        <v>0</v>
      </c>
      <c r="AN15" s="137">
        <f t="shared" si="13"/>
        <v>0</v>
      </c>
      <c r="AO15" s="137">
        <f t="shared" si="14"/>
        <v>0</v>
      </c>
      <c r="AP15" s="7">
        <f t="shared" si="15"/>
        <v>61832.779008000005</v>
      </c>
      <c r="AQ15" s="7">
        <f t="shared" si="16"/>
        <v>0.19055960000000002</v>
      </c>
      <c r="AR15" s="40">
        <f t="shared" si="17"/>
        <v>58406.400000000001</v>
      </c>
      <c r="AS15" s="40">
        <f t="shared" ref="AS15:AS57" si="38">AP15-AR15</f>
        <v>3426.3790080000035</v>
      </c>
      <c r="AT15" s="7">
        <f t="shared" si="18"/>
        <v>3.9012500000000001</v>
      </c>
      <c r="AU15" s="40">
        <f t="shared" si="19"/>
        <v>3.7212499999999999</v>
      </c>
      <c r="AV15" s="41">
        <f t="shared" si="20"/>
        <v>6.7355889724310836E-2</v>
      </c>
      <c r="AX15" s="150">
        <f t="shared" si="27"/>
        <v>3.99</v>
      </c>
      <c r="AY15" s="151">
        <f t="shared" si="28"/>
        <v>0</v>
      </c>
      <c r="AZ15" s="160">
        <f t="shared" si="26"/>
        <v>3.99</v>
      </c>
      <c r="BA15" s="164"/>
      <c r="BC15" s="86" t="s">
        <v>117</v>
      </c>
      <c r="BD15" s="86" t="s">
        <v>263</v>
      </c>
      <c r="BE15" s="87" t="s">
        <v>275</v>
      </c>
      <c r="BF15" s="87" t="s">
        <v>276</v>
      </c>
      <c r="BG15" s="86" t="s">
        <v>277</v>
      </c>
      <c r="BH15" s="86">
        <v>199</v>
      </c>
      <c r="BI15" s="86" t="s">
        <v>118</v>
      </c>
      <c r="BJ15" s="86">
        <v>84043610</v>
      </c>
      <c r="BK15" s="86" t="s">
        <v>117</v>
      </c>
      <c r="BL15" s="86" t="s">
        <v>119</v>
      </c>
    </row>
    <row r="16" spans="1:64" ht="14.25" customHeight="1" thickBot="1" x14ac:dyDescent="0.25">
      <c r="A16" s="51">
        <v>4.2000000000000003E-2</v>
      </c>
      <c r="B16" s="27">
        <f>VLOOKUP(F16,Planilha3!D:F,3,0)</f>
        <v>151.60164053402013</v>
      </c>
      <c r="C16" s="47">
        <f t="shared" si="35"/>
        <v>3609.562869857622</v>
      </c>
      <c r="D16" s="47" t="s">
        <v>74</v>
      </c>
      <c r="E16" s="47" t="s">
        <v>75</v>
      </c>
      <c r="F16" s="20">
        <v>904961</v>
      </c>
      <c r="G16" s="20">
        <v>1193325</v>
      </c>
      <c r="H16" s="11" t="s">
        <v>54</v>
      </c>
      <c r="I16" s="20">
        <v>12</v>
      </c>
      <c r="J16" s="20">
        <v>280</v>
      </c>
      <c r="K16" s="123">
        <f t="shared" si="36"/>
        <v>7280</v>
      </c>
      <c r="L16" s="125">
        <v>21840</v>
      </c>
      <c r="M16" s="179">
        <f t="shared" si="1"/>
        <v>78</v>
      </c>
      <c r="N16" s="84">
        <f t="shared" si="2"/>
        <v>3</v>
      </c>
      <c r="O16" s="148">
        <v>58.04</v>
      </c>
      <c r="P16" s="135">
        <f t="shared" si="22"/>
        <v>4.8366666666666669</v>
      </c>
      <c r="Q16" s="13">
        <f t="shared" si="3"/>
        <v>1.2000000000000002</v>
      </c>
      <c r="R16" s="13">
        <v>0.1</v>
      </c>
      <c r="S16" s="74">
        <f t="shared" si="4"/>
        <v>4.1999999999999993</v>
      </c>
      <c r="T16" s="74">
        <v>0.35</v>
      </c>
      <c r="U16" s="121">
        <f t="shared" si="23"/>
        <v>0.44999999999999996</v>
      </c>
      <c r="V16" s="36">
        <f>VLOOKUP(F16,'[1]Proposta HNK para Tenda'!$F:$T,15,0)</f>
        <v>5.69</v>
      </c>
      <c r="W16" s="36">
        <f>VLOOKUP(F16,'[1]Proposta HNK para Tenda'!$F:$U,16,0)</f>
        <v>5.2900000000000009</v>
      </c>
      <c r="X16" s="36"/>
      <c r="Y16" s="45">
        <f t="shared" si="5"/>
        <v>117935.99999999999</v>
      </c>
      <c r="Z16" s="8">
        <f t="shared" si="6"/>
        <v>1267593.6000000001</v>
      </c>
      <c r="AA16" s="32">
        <f>L16*12*0.35/100</f>
        <v>917.28</v>
      </c>
      <c r="AB16" s="43"/>
      <c r="AC16" s="44">
        <f t="shared" si="7"/>
        <v>0.47900999999999999</v>
      </c>
      <c r="AD16" s="39">
        <f t="shared" si="8"/>
        <v>0.44999999999999996</v>
      </c>
      <c r="AE16" s="39">
        <f t="shared" si="37"/>
        <v>2.9010000000000036E-2</v>
      </c>
      <c r="AG16" s="175">
        <v>33.86</v>
      </c>
      <c r="AH16" s="175">
        <f t="shared" si="9"/>
        <v>31059.1008</v>
      </c>
      <c r="AI16" s="175">
        <f t="shared" si="10"/>
        <v>0.11851</v>
      </c>
      <c r="AJ16" s="7"/>
      <c r="AK16" s="7">
        <f t="shared" si="11"/>
        <v>0</v>
      </c>
      <c r="AL16" s="7">
        <f t="shared" si="12"/>
        <v>0</v>
      </c>
      <c r="AM16" s="174">
        <v>103</v>
      </c>
      <c r="AN16" s="174">
        <f t="shared" si="13"/>
        <v>94479.84</v>
      </c>
      <c r="AO16" s="174">
        <f t="shared" si="14"/>
        <v>0.36049999999999999</v>
      </c>
      <c r="AP16" s="7">
        <f t="shared" si="15"/>
        <v>125538.9408</v>
      </c>
      <c r="AQ16" s="7">
        <f t="shared" si="16"/>
        <v>0.47900999999999999</v>
      </c>
      <c r="AR16" s="40">
        <f t="shared" si="17"/>
        <v>117935.99999999999</v>
      </c>
      <c r="AS16" s="40">
        <f t="shared" si="38"/>
        <v>7602.9408000000112</v>
      </c>
      <c r="AT16" s="7">
        <f t="shared" si="18"/>
        <v>4.8366666666666669</v>
      </c>
      <c r="AU16" s="40">
        <f t="shared" si="19"/>
        <v>4.3866666666666676</v>
      </c>
      <c r="AV16" s="41">
        <f t="shared" si="20"/>
        <v>0.17076244486452422</v>
      </c>
      <c r="AX16" s="150">
        <f t="shared" si="27"/>
        <v>5.2900000000000009</v>
      </c>
      <c r="AY16" s="151">
        <f t="shared" si="28"/>
        <v>0</v>
      </c>
      <c r="AZ16" s="160">
        <f t="shared" si="26"/>
        <v>5.2900000000000009</v>
      </c>
      <c r="BA16" s="164"/>
      <c r="BC16" s="86" t="s">
        <v>117</v>
      </c>
      <c r="BD16" s="86" t="s">
        <v>263</v>
      </c>
      <c r="BE16" s="87" t="s">
        <v>275</v>
      </c>
      <c r="BF16" s="87" t="s">
        <v>276</v>
      </c>
      <c r="BG16" s="86" t="s">
        <v>277</v>
      </c>
      <c r="BH16" s="86">
        <v>199</v>
      </c>
      <c r="BI16" s="86" t="s">
        <v>118</v>
      </c>
      <c r="BJ16" s="86">
        <v>84043610</v>
      </c>
      <c r="BK16" s="86" t="s">
        <v>117</v>
      </c>
      <c r="BL16" s="86" t="s">
        <v>119</v>
      </c>
    </row>
    <row r="17" spans="1:64" ht="14.25" customHeight="1" thickBot="1" x14ac:dyDescent="0.25">
      <c r="A17" s="50">
        <v>7.9200000000000007E-2</v>
      </c>
      <c r="B17" s="27">
        <f>VLOOKUP(F17,Planilha3!D:F,3,0)</f>
        <v>143.24875260192064</v>
      </c>
      <c r="C17" s="47">
        <f t="shared" si="35"/>
        <v>1808.6963712363715</v>
      </c>
      <c r="D17" s="47" t="s">
        <v>74</v>
      </c>
      <c r="E17" s="47" t="s">
        <v>75</v>
      </c>
      <c r="F17" s="20">
        <v>903996</v>
      </c>
      <c r="G17" s="20">
        <v>1140139</v>
      </c>
      <c r="H17" s="11" t="s">
        <v>7</v>
      </c>
      <c r="I17" s="20">
        <v>24</v>
      </c>
      <c r="J17" s="20">
        <v>91</v>
      </c>
      <c r="K17" s="123">
        <f t="shared" si="36"/>
        <v>2366</v>
      </c>
      <c r="L17" s="125">
        <f>J17*20</f>
        <v>1820</v>
      </c>
      <c r="M17" s="179">
        <f t="shared" si="1"/>
        <v>20</v>
      </c>
      <c r="N17" s="84">
        <f t="shared" si="2"/>
        <v>0.76923076923076927</v>
      </c>
      <c r="O17" s="148">
        <v>142.6</v>
      </c>
      <c r="P17" s="135">
        <f t="shared" si="22"/>
        <v>5.9416666666666664</v>
      </c>
      <c r="Q17" s="13">
        <f t="shared" si="3"/>
        <v>1.2000000000000002</v>
      </c>
      <c r="R17" s="13">
        <v>0.05</v>
      </c>
      <c r="S17" s="74">
        <f t="shared" si="4"/>
        <v>0.24</v>
      </c>
      <c r="T17" s="74">
        <v>0.01</v>
      </c>
      <c r="U17" s="121">
        <f t="shared" si="23"/>
        <v>6.0000000000000005E-2</v>
      </c>
      <c r="V17" s="36">
        <f>VLOOKUP(F17,'[1]Proposta HNK para Tenda'!$F:$T,15,0)</f>
        <v>6.99</v>
      </c>
      <c r="W17" s="36">
        <f>VLOOKUP(F17,'[1]Proposta HNK para Tenda'!$F:$U,16,0)</f>
        <v>6.5900000000000007</v>
      </c>
      <c r="X17" s="36"/>
      <c r="Y17" s="45">
        <f t="shared" si="5"/>
        <v>2620.8000000000002</v>
      </c>
      <c r="Z17" s="8">
        <f t="shared" si="6"/>
        <v>259532</v>
      </c>
      <c r="AA17" s="32">
        <f>L17*24*0.33/100</f>
        <v>144.14400000000001</v>
      </c>
      <c r="AB17" s="43"/>
      <c r="AC17" s="44">
        <f t="shared" si="7"/>
        <v>6.8507999999999999E-2</v>
      </c>
      <c r="AD17" s="39">
        <f t="shared" si="8"/>
        <v>6.0000000000000005E-2</v>
      </c>
      <c r="AE17" s="39">
        <f t="shared" si="37"/>
        <v>8.5079999999999947E-3</v>
      </c>
      <c r="AG17" s="177">
        <v>20.76</v>
      </c>
      <c r="AH17" s="177">
        <f t="shared" si="9"/>
        <v>2992.4294400000003</v>
      </c>
      <c r="AI17" s="177">
        <f t="shared" si="10"/>
        <v>6.8507999999999999E-2</v>
      </c>
      <c r="AJ17" s="7"/>
      <c r="AK17" s="7">
        <f t="shared" si="11"/>
        <v>0</v>
      </c>
      <c r="AL17" s="7">
        <f t="shared" si="12"/>
        <v>0</v>
      </c>
      <c r="AM17" s="7">
        <v>0</v>
      </c>
      <c r="AN17" s="137">
        <f t="shared" si="13"/>
        <v>0</v>
      </c>
      <c r="AO17" s="137">
        <f t="shared" si="14"/>
        <v>0</v>
      </c>
      <c r="AP17" s="7">
        <f t="shared" si="15"/>
        <v>2992.4294400000003</v>
      </c>
      <c r="AQ17" s="7">
        <f t="shared" si="16"/>
        <v>6.8507999999999999E-2</v>
      </c>
      <c r="AR17" s="40">
        <f t="shared" si="17"/>
        <v>2620.8000000000002</v>
      </c>
      <c r="AS17" s="83">
        <f t="shared" si="38"/>
        <v>371.62944000000016</v>
      </c>
      <c r="AT17" s="7">
        <f t="shared" si="18"/>
        <v>5.9416666666666664</v>
      </c>
      <c r="AU17" s="40">
        <f t="shared" si="19"/>
        <v>5.8816666666666668</v>
      </c>
      <c r="AV17" s="41">
        <f t="shared" si="20"/>
        <v>0.10748609003540727</v>
      </c>
      <c r="AX17" s="150">
        <f t="shared" si="27"/>
        <v>6.5900000000000007</v>
      </c>
      <c r="AY17" s="151">
        <f t="shared" si="28"/>
        <v>0</v>
      </c>
      <c r="AZ17" s="160">
        <f t="shared" si="26"/>
        <v>6.5900000000000007</v>
      </c>
      <c r="BA17" s="164"/>
      <c r="BC17" s="86" t="s">
        <v>117</v>
      </c>
      <c r="BD17" s="86" t="s">
        <v>263</v>
      </c>
      <c r="BE17" s="87" t="s">
        <v>275</v>
      </c>
      <c r="BF17" s="87" t="s">
        <v>276</v>
      </c>
      <c r="BG17" s="86" t="s">
        <v>277</v>
      </c>
      <c r="BH17" s="86">
        <v>199</v>
      </c>
      <c r="BI17" s="86" t="s">
        <v>118</v>
      </c>
      <c r="BJ17" s="86">
        <v>84043610</v>
      </c>
      <c r="BK17" s="86" t="s">
        <v>117</v>
      </c>
      <c r="BL17" s="86" t="s">
        <v>119</v>
      </c>
    </row>
    <row r="18" spans="1:64" ht="14.25" customHeight="1" thickBot="1" x14ac:dyDescent="0.25">
      <c r="A18" s="50">
        <f>0.269*8/100</f>
        <v>2.1520000000000001E-2</v>
      </c>
      <c r="B18" s="27">
        <f>VLOOKUP(F18,Planilha3!D:F,3,0)</f>
        <v>1756.2216050081772</v>
      </c>
      <c r="C18" s="47">
        <f t="shared" si="35"/>
        <v>81608.810641643926</v>
      </c>
      <c r="D18" s="47" t="s">
        <v>74</v>
      </c>
      <c r="E18" s="47" t="s">
        <v>75</v>
      </c>
      <c r="F18" s="20">
        <v>904721</v>
      </c>
      <c r="G18" s="20">
        <v>1169727</v>
      </c>
      <c r="H18" s="11" t="s">
        <v>6</v>
      </c>
      <c r="I18" s="20">
        <v>8</v>
      </c>
      <c r="J18" s="20">
        <v>520</v>
      </c>
      <c r="K18" s="123">
        <f t="shared" si="36"/>
        <v>13520</v>
      </c>
      <c r="L18" s="125">
        <v>270400</v>
      </c>
      <c r="M18" s="179">
        <f t="shared" si="1"/>
        <v>520</v>
      </c>
      <c r="N18" s="46">
        <f t="shared" si="2"/>
        <v>20</v>
      </c>
      <c r="O18" s="148">
        <v>31.21</v>
      </c>
      <c r="P18" s="135">
        <f t="shared" si="22"/>
        <v>3.9012500000000001</v>
      </c>
      <c r="Q18" s="13">
        <f t="shared" si="3"/>
        <v>0.8</v>
      </c>
      <c r="R18" s="13">
        <v>0.1</v>
      </c>
      <c r="S18" s="74">
        <f t="shared" si="4"/>
        <v>0.64</v>
      </c>
      <c r="T18" s="74">
        <v>0.08</v>
      </c>
      <c r="U18" s="121">
        <f t="shared" si="23"/>
        <v>0.18</v>
      </c>
      <c r="V18" s="36">
        <f>VLOOKUP(F18,'[1]Proposta HNK para Tenda'!$F:$T,15,0)</f>
        <v>4.59</v>
      </c>
      <c r="W18" s="36">
        <f>VLOOKUP(F18,'[1]Proposta HNK para Tenda'!$F:$U,16,0)</f>
        <v>3.99</v>
      </c>
      <c r="X18" s="36"/>
      <c r="Y18" s="45">
        <f t="shared" si="5"/>
        <v>389376</v>
      </c>
      <c r="Z18" s="45">
        <f t="shared" si="6"/>
        <v>8439184</v>
      </c>
      <c r="AA18" s="32">
        <f>L18*8*0.269/100</f>
        <v>5819.0080000000007</v>
      </c>
      <c r="AB18" s="43"/>
      <c r="AC18" s="44">
        <f t="shared" si="7"/>
        <v>0.19055960000000005</v>
      </c>
      <c r="AD18" s="39">
        <f t="shared" si="8"/>
        <v>0.18</v>
      </c>
      <c r="AE18" s="39">
        <f t="shared" si="37"/>
        <v>1.0559600000000058E-2</v>
      </c>
      <c r="AG18" s="175">
        <v>70.84</v>
      </c>
      <c r="AH18" s="175">
        <f t="shared" si="9"/>
        <v>412218.52672000008</v>
      </c>
      <c r="AI18" s="175">
        <f t="shared" si="10"/>
        <v>0.19055960000000005</v>
      </c>
      <c r="AJ18" s="7"/>
      <c r="AK18" s="7">
        <f t="shared" si="11"/>
        <v>0</v>
      </c>
      <c r="AL18" s="7">
        <f t="shared" si="12"/>
        <v>0</v>
      </c>
      <c r="AM18" s="7">
        <v>0</v>
      </c>
      <c r="AN18" s="137">
        <f t="shared" si="13"/>
        <v>0</v>
      </c>
      <c r="AO18" s="137">
        <f t="shared" si="14"/>
        <v>0</v>
      </c>
      <c r="AP18" s="7">
        <f t="shared" si="15"/>
        <v>412218.52672000008</v>
      </c>
      <c r="AQ18" s="7">
        <f t="shared" si="16"/>
        <v>0.19055960000000005</v>
      </c>
      <c r="AR18" s="40">
        <f t="shared" si="17"/>
        <v>389376</v>
      </c>
      <c r="AS18" s="83">
        <f t="shared" si="38"/>
        <v>22842.526720000082</v>
      </c>
      <c r="AT18" s="7">
        <f t="shared" si="18"/>
        <v>3.9012500000000001</v>
      </c>
      <c r="AU18" s="40">
        <f t="shared" si="19"/>
        <v>3.7212499999999999</v>
      </c>
      <c r="AV18" s="41">
        <f t="shared" si="20"/>
        <v>6.7355889724310836E-2</v>
      </c>
      <c r="AX18" s="150">
        <f t="shared" si="27"/>
        <v>3.99</v>
      </c>
      <c r="AY18" s="151">
        <f t="shared" si="28"/>
        <v>0</v>
      </c>
      <c r="AZ18" s="160">
        <f t="shared" si="26"/>
        <v>3.99</v>
      </c>
      <c r="BA18" s="164"/>
      <c r="BC18" s="86" t="s">
        <v>117</v>
      </c>
      <c r="BD18" s="86" t="s">
        <v>263</v>
      </c>
      <c r="BE18" s="87" t="s">
        <v>275</v>
      </c>
      <c r="BF18" s="87" t="s">
        <v>276</v>
      </c>
      <c r="BG18" s="86" t="s">
        <v>277</v>
      </c>
      <c r="BH18" s="86">
        <v>199</v>
      </c>
      <c r="BI18" s="86" t="s">
        <v>118</v>
      </c>
      <c r="BJ18" s="86">
        <v>84043610</v>
      </c>
      <c r="BK18" s="86" t="s">
        <v>117</v>
      </c>
      <c r="BL18" s="86" t="s">
        <v>119</v>
      </c>
    </row>
    <row r="19" spans="1:64" ht="14.25" customHeight="1" thickBot="1" x14ac:dyDescent="0.25">
      <c r="A19" s="51">
        <v>4.2000000000000003E-2</v>
      </c>
      <c r="B19" s="27">
        <f>VLOOKUP(F19,Planilha3!D:F,3,0)</f>
        <v>2524.7199789310725</v>
      </c>
      <c r="C19" s="47">
        <f t="shared" si="35"/>
        <v>60112.380450739816</v>
      </c>
      <c r="D19" s="47" t="s">
        <v>74</v>
      </c>
      <c r="E19" s="47" t="s">
        <v>75</v>
      </c>
      <c r="F19" s="20">
        <v>904932</v>
      </c>
      <c r="G19" s="20">
        <v>1193319</v>
      </c>
      <c r="H19" s="11" t="s">
        <v>55</v>
      </c>
      <c r="I19" s="20">
        <v>12</v>
      </c>
      <c r="J19" s="20">
        <v>280</v>
      </c>
      <c r="K19" s="123">
        <f t="shared" si="36"/>
        <v>7280</v>
      </c>
      <c r="L19" s="125">
        <f>K19*25</f>
        <v>182000</v>
      </c>
      <c r="M19" s="178">
        <f t="shared" si="1"/>
        <v>650</v>
      </c>
      <c r="N19" s="84">
        <f t="shared" si="2"/>
        <v>25</v>
      </c>
      <c r="O19" s="148">
        <v>58.04</v>
      </c>
      <c r="P19" s="135">
        <f t="shared" si="22"/>
        <v>4.8366666666666669</v>
      </c>
      <c r="Q19" s="13">
        <f t="shared" si="3"/>
        <v>1.2000000000000002</v>
      </c>
      <c r="R19" s="13">
        <v>0.1</v>
      </c>
      <c r="S19" s="74">
        <f t="shared" si="4"/>
        <v>4.1999999999999993</v>
      </c>
      <c r="T19" s="74">
        <v>0.35</v>
      </c>
      <c r="U19" s="121">
        <f t="shared" si="23"/>
        <v>0.44999999999999996</v>
      </c>
      <c r="V19" s="157">
        <f>VLOOKUP(F19,'[1]Proposta HNK para Tenda'!$F:$T,15,0)</f>
        <v>5.69</v>
      </c>
      <c r="W19" s="157">
        <f>VLOOKUP(F19,'[1]Proposta HNK para Tenda'!$F:$U,16,0)</f>
        <v>5.2900000000000009</v>
      </c>
      <c r="X19" s="157">
        <v>4.99</v>
      </c>
      <c r="Y19" s="45">
        <f t="shared" si="5"/>
        <v>982799.99999999988</v>
      </c>
      <c r="Z19" s="8">
        <f t="shared" si="6"/>
        <v>10563280</v>
      </c>
      <c r="AA19" s="32">
        <f>L19*12*0.35/100</f>
        <v>7644</v>
      </c>
      <c r="AB19" s="43"/>
      <c r="AC19" s="44">
        <f t="shared" si="7"/>
        <v>0.47900999999999999</v>
      </c>
      <c r="AD19" s="39">
        <f t="shared" si="8"/>
        <v>0.44999999999999996</v>
      </c>
      <c r="AE19" s="39">
        <f t="shared" si="37"/>
        <v>2.9010000000000036E-2</v>
      </c>
      <c r="AG19" s="175">
        <v>33.86</v>
      </c>
      <c r="AH19" s="175">
        <f t="shared" si="9"/>
        <v>258825.84</v>
      </c>
      <c r="AI19" s="175">
        <f t="shared" si="10"/>
        <v>0.11851</v>
      </c>
      <c r="AJ19" s="7"/>
      <c r="AK19" s="7">
        <f t="shared" si="11"/>
        <v>0</v>
      </c>
      <c r="AL19" s="7">
        <f t="shared" si="12"/>
        <v>0</v>
      </c>
      <c r="AM19" s="174">
        <v>103</v>
      </c>
      <c r="AN19" s="174">
        <f t="shared" si="13"/>
        <v>787332</v>
      </c>
      <c r="AO19" s="174">
        <f t="shared" si="14"/>
        <v>0.36049999999999999</v>
      </c>
      <c r="AP19" s="7">
        <f t="shared" si="15"/>
        <v>1046157.84</v>
      </c>
      <c r="AQ19" s="7">
        <f t="shared" si="16"/>
        <v>0.47900999999999999</v>
      </c>
      <c r="AR19" s="40">
        <f t="shared" si="17"/>
        <v>982799.99999999988</v>
      </c>
      <c r="AS19" s="83">
        <f t="shared" si="38"/>
        <v>63357.840000000084</v>
      </c>
      <c r="AT19" s="7">
        <f t="shared" si="18"/>
        <v>4.8366666666666669</v>
      </c>
      <c r="AU19" s="40">
        <f t="shared" si="19"/>
        <v>4.3866666666666676</v>
      </c>
      <c r="AV19" s="41">
        <f t="shared" si="20"/>
        <v>0.17076244486452422</v>
      </c>
      <c r="AX19" s="153">
        <f>W19*50%</f>
        <v>2.6450000000000005</v>
      </c>
      <c r="AY19" s="154">
        <f t="shared" si="28"/>
        <v>2.4950000000000001</v>
      </c>
      <c r="AZ19" s="159">
        <f t="shared" si="26"/>
        <v>5.1400000000000006</v>
      </c>
      <c r="BA19" s="163">
        <f>(W19-X19)/W19</f>
        <v>5.6710775047259104E-2</v>
      </c>
      <c r="BC19" s="86" t="s">
        <v>121</v>
      </c>
      <c r="BD19" s="86" t="s">
        <v>263</v>
      </c>
      <c r="BE19" s="87" t="s">
        <v>268</v>
      </c>
      <c r="BF19" s="87">
        <v>392558326113</v>
      </c>
      <c r="BG19" s="86" t="s">
        <v>269</v>
      </c>
      <c r="BH19" s="86">
        <v>2911</v>
      </c>
      <c r="BI19" s="86" t="s">
        <v>270</v>
      </c>
      <c r="BJ19" s="86">
        <v>12321150</v>
      </c>
      <c r="BK19" s="86" t="s">
        <v>271</v>
      </c>
      <c r="BL19" s="86" t="s">
        <v>108</v>
      </c>
    </row>
    <row r="20" spans="1:64" ht="14.25" customHeight="1" thickBot="1" x14ac:dyDescent="0.25">
      <c r="A20" s="52">
        <f>0.25*24/100</f>
        <v>0.06</v>
      </c>
      <c r="B20" s="27">
        <f>VLOOKUP(F20,Planilha3!D:F,3,0)</f>
        <v>501.62260948177118</v>
      </c>
      <c r="C20" s="47">
        <f t="shared" si="35"/>
        <v>8360.3768246961863</v>
      </c>
      <c r="D20" s="47" t="s">
        <v>74</v>
      </c>
      <c r="E20" s="47" t="s">
        <v>75</v>
      </c>
      <c r="F20" s="20">
        <v>905291</v>
      </c>
      <c r="G20" s="20">
        <v>1016561</v>
      </c>
      <c r="H20" s="11" t="s">
        <v>5</v>
      </c>
      <c r="I20" s="20">
        <v>24</v>
      </c>
      <c r="J20" s="20">
        <v>104</v>
      </c>
      <c r="K20" s="123">
        <f t="shared" si="36"/>
        <v>2704</v>
      </c>
      <c r="L20" s="125">
        <v>10816</v>
      </c>
      <c r="M20" s="179">
        <f t="shared" si="1"/>
        <v>104</v>
      </c>
      <c r="N20" s="46">
        <f t="shared" si="2"/>
        <v>4</v>
      </c>
      <c r="O20" s="148">
        <v>107.92</v>
      </c>
      <c r="P20" s="135">
        <f t="shared" si="22"/>
        <v>4.496666666666667</v>
      </c>
      <c r="Q20" s="13">
        <f t="shared" si="3"/>
        <v>1.2000000000000002</v>
      </c>
      <c r="R20" s="13">
        <v>0.05</v>
      </c>
      <c r="S20" s="74">
        <f t="shared" si="4"/>
        <v>0.72</v>
      </c>
      <c r="T20" s="74">
        <v>0.03</v>
      </c>
      <c r="U20" s="121">
        <f t="shared" si="23"/>
        <v>0.08</v>
      </c>
      <c r="V20" s="36">
        <v>5.29</v>
      </c>
      <c r="W20" s="36">
        <v>4.99</v>
      </c>
      <c r="X20" s="36"/>
      <c r="Y20" s="45">
        <f t="shared" si="5"/>
        <v>20766.72</v>
      </c>
      <c r="Z20" s="45">
        <f t="shared" si="6"/>
        <v>1167262.72</v>
      </c>
      <c r="AA20" s="32">
        <f>L20*24*0.25/100</f>
        <v>648.96</v>
      </c>
      <c r="AB20" s="43"/>
      <c r="AC20" s="44">
        <f t="shared" si="7"/>
        <v>8.950000000000001E-2</v>
      </c>
      <c r="AD20" s="39">
        <f t="shared" si="8"/>
        <v>0.08</v>
      </c>
      <c r="AE20" s="39">
        <f t="shared" si="37"/>
        <v>9.5000000000000084E-3</v>
      </c>
      <c r="AG20" s="175">
        <v>35.799999999999997</v>
      </c>
      <c r="AH20" s="175">
        <f t="shared" si="9"/>
        <v>23232.768</v>
      </c>
      <c r="AI20" s="175">
        <f t="shared" si="10"/>
        <v>8.950000000000001E-2</v>
      </c>
      <c r="AJ20" s="7"/>
      <c r="AK20" s="7">
        <f t="shared" si="11"/>
        <v>0</v>
      </c>
      <c r="AL20" s="7">
        <f t="shared" si="12"/>
        <v>0</v>
      </c>
      <c r="AM20" s="7">
        <v>0</v>
      </c>
      <c r="AN20" s="137">
        <f t="shared" si="13"/>
        <v>0</v>
      </c>
      <c r="AO20" s="137">
        <f t="shared" si="14"/>
        <v>0</v>
      </c>
      <c r="AP20" s="7">
        <f t="shared" si="15"/>
        <v>23232.768</v>
      </c>
      <c r="AQ20" s="7">
        <f t="shared" si="16"/>
        <v>8.950000000000001E-2</v>
      </c>
      <c r="AR20" s="40">
        <f t="shared" si="17"/>
        <v>20766.72</v>
      </c>
      <c r="AS20" s="83">
        <f t="shared" si="38"/>
        <v>2466.0479999999989</v>
      </c>
      <c r="AT20" s="7">
        <f t="shared" si="18"/>
        <v>4.496666666666667</v>
      </c>
      <c r="AU20" s="40">
        <f t="shared" si="19"/>
        <v>4.416666666666667</v>
      </c>
      <c r="AV20" s="41">
        <f t="shared" si="20"/>
        <v>0.11489645958583833</v>
      </c>
      <c r="AX20" s="150">
        <f t="shared" ref="AX20:AX57" si="39">W20*100%</f>
        <v>4.99</v>
      </c>
      <c r="AY20" s="151">
        <f t="shared" si="28"/>
        <v>0</v>
      </c>
      <c r="AZ20" s="160">
        <f t="shared" si="26"/>
        <v>4.99</v>
      </c>
      <c r="BA20" s="164"/>
      <c r="BC20" s="86" t="s">
        <v>121</v>
      </c>
      <c r="BD20" s="86" t="s">
        <v>263</v>
      </c>
      <c r="BE20" s="87" t="s">
        <v>268</v>
      </c>
      <c r="BF20" s="87">
        <v>392558326113</v>
      </c>
      <c r="BG20" s="86" t="s">
        <v>269</v>
      </c>
      <c r="BH20" s="86">
        <v>2911</v>
      </c>
      <c r="BI20" s="86" t="s">
        <v>270</v>
      </c>
      <c r="BJ20" s="86">
        <v>12321150</v>
      </c>
      <c r="BK20" s="86" t="s">
        <v>271</v>
      </c>
      <c r="BL20" s="86" t="s">
        <v>108</v>
      </c>
    </row>
    <row r="21" spans="1:64" ht="14.25" customHeight="1" thickBot="1" x14ac:dyDescent="0.25">
      <c r="A21" s="50">
        <v>7.9200000000000007E-2</v>
      </c>
      <c r="B21" s="27">
        <f>VLOOKUP(F21,Planilha3!D:F,3,0)</f>
        <v>1279.3006982621212</v>
      </c>
      <c r="C21" s="47">
        <f t="shared" si="35"/>
        <v>16152.7865942187</v>
      </c>
      <c r="D21" s="47" t="s">
        <v>74</v>
      </c>
      <c r="E21" s="47" t="s">
        <v>75</v>
      </c>
      <c r="F21" s="20">
        <v>903478</v>
      </c>
      <c r="G21" s="20">
        <v>1045807</v>
      </c>
      <c r="H21" s="11" t="s">
        <v>4</v>
      </c>
      <c r="I21" s="20">
        <v>24</v>
      </c>
      <c r="J21" s="20">
        <v>91</v>
      </c>
      <c r="K21" s="123">
        <f t="shared" si="36"/>
        <v>2366</v>
      </c>
      <c r="L21" s="125">
        <v>23660</v>
      </c>
      <c r="M21" s="179">
        <f t="shared" si="1"/>
        <v>260</v>
      </c>
      <c r="N21" s="84">
        <f t="shared" si="2"/>
        <v>10</v>
      </c>
      <c r="O21" s="148">
        <v>142.6</v>
      </c>
      <c r="P21" s="135">
        <f t="shared" si="22"/>
        <v>5.9416666666666664</v>
      </c>
      <c r="Q21" s="13">
        <f t="shared" si="3"/>
        <v>1.2000000000000002</v>
      </c>
      <c r="R21" s="13">
        <v>0.05</v>
      </c>
      <c r="S21" s="74">
        <f t="shared" si="4"/>
        <v>0.24</v>
      </c>
      <c r="T21" s="74">
        <v>0.01</v>
      </c>
      <c r="U21" s="121">
        <f t="shared" si="23"/>
        <v>6.0000000000000005E-2</v>
      </c>
      <c r="V21" s="36">
        <f>VLOOKUP(F21,'[1]Proposta HNK para Tenda'!$F:$T,15,0)</f>
        <v>6.99</v>
      </c>
      <c r="W21" s="36">
        <f>VLOOKUP(F21,'[1]Proposta HNK para Tenda'!$F:$U,16,0)</f>
        <v>6.5900000000000007</v>
      </c>
      <c r="X21" s="36"/>
      <c r="Y21" s="45">
        <f t="shared" si="5"/>
        <v>34070.400000000001</v>
      </c>
      <c r="Z21" s="8">
        <f t="shared" si="6"/>
        <v>3373916</v>
      </c>
      <c r="AA21" s="32">
        <f>L21*24*0.33/100</f>
        <v>1873.8720000000001</v>
      </c>
      <c r="AB21" s="43"/>
      <c r="AC21" s="44">
        <f t="shared" si="7"/>
        <v>6.8508000000000013E-2</v>
      </c>
      <c r="AD21" s="39">
        <f t="shared" si="8"/>
        <v>6.0000000000000005E-2</v>
      </c>
      <c r="AE21" s="39">
        <f t="shared" si="37"/>
        <v>8.5080000000000086E-3</v>
      </c>
      <c r="AG21" s="177">
        <v>20.76</v>
      </c>
      <c r="AH21" s="177">
        <f t="shared" si="9"/>
        <v>38901.582720000006</v>
      </c>
      <c r="AI21" s="177">
        <f t="shared" si="10"/>
        <v>6.8508000000000013E-2</v>
      </c>
      <c r="AJ21" s="7"/>
      <c r="AK21" s="7">
        <f t="shared" si="11"/>
        <v>0</v>
      </c>
      <c r="AL21" s="7">
        <f t="shared" si="12"/>
        <v>0</v>
      </c>
      <c r="AM21" s="7">
        <v>0</v>
      </c>
      <c r="AN21" s="137">
        <f t="shared" si="13"/>
        <v>0</v>
      </c>
      <c r="AO21" s="137">
        <f t="shared" si="14"/>
        <v>0</v>
      </c>
      <c r="AP21" s="7">
        <f t="shared" si="15"/>
        <v>38901.582720000006</v>
      </c>
      <c r="AQ21" s="7">
        <f t="shared" si="16"/>
        <v>6.8508000000000013E-2</v>
      </c>
      <c r="AR21" s="40">
        <f t="shared" si="17"/>
        <v>34070.400000000001</v>
      </c>
      <c r="AS21" s="83">
        <f t="shared" si="38"/>
        <v>4831.1827200000043</v>
      </c>
      <c r="AT21" s="7">
        <f t="shared" si="18"/>
        <v>5.9416666666666664</v>
      </c>
      <c r="AU21" s="40">
        <f t="shared" si="19"/>
        <v>5.8816666666666668</v>
      </c>
      <c r="AV21" s="41">
        <f t="shared" si="20"/>
        <v>0.10748609003540727</v>
      </c>
      <c r="AX21" s="150">
        <f t="shared" si="39"/>
        <v>6.5900000000000007</v>
      </c>
      <c r="AY21" s="151">
        <f t="shared" si="28"/>
        <v>0</v>
      </c>
      <c r="AZ21" s="160">
        <f t="shared" si="26"/>
        <v>6.5900000000000007</v>
      </c>
      <c r="BA21" s="164"/>
      <c r="BC21" s="86" t="s">
        <v>120</v>
      </c>
      <c r="BD21" s="86" t="s">
        <v>263</v>
      </c>
      <c r="BE21" s="87" t="s">
        <v>272</v>
      </c>
      <c r="BF21" s="87">
        <v>181661963118</v>
      </c>
      <c r="BG21" s="86" t="s">
        <v>273</v>
      </c>
      <c r="BH21" s="86">
        <v>701</v>
      </c>
      <c r="BI21" s="86" t="s">
        <v>274</v>
      </c>
      <c r="BJ21" s="86">
        <v>14808080</v>
      </c>
      <c r="BK21" s="86" t="s">
        <v>120</v>
      </c>
      <c r="BL21" s="86" t="s">
        <v>108</v>
      </c>
    </row>
    <row r="22" spans="1:64" ht="14.25" customHeight="1" thickBot="1" x14ac:dyDescent="0.25">
      <c r="A22" s="50">
        <v>7.1999999999999995E-2</v>
      </c>
      <c r="B22" s="27">
        <f>VLOOKUP(F22,Planilha3!D:F,3,0)</f>
        <v>156.38562661667979</v>
      </c>
      <c r="C22" s="47">
        <f t="shared" si="35"/>
        <v>2172.0225918983306</v>
      </c>
      <c r="D22" s="47" t="s">
        <v>74</v>
      </c>
      <c r="E22" s="47" t="s">
        <v>75</v>
      </c>
      <c r="F22" s="20">
        <v>903480</v>
      </c>
      <c r="G22" s="20">
        <v>99187</v>
      </c>
      <c r="H22" s="11" t="s">
        <v>3</v>
      </c>
      <c r="I22" s="20">
        <v>12</v>
      </c>
      <c r="J22" s="20">
        <v>96</v>
      </c>
      <c r="K22" s="123">
        <f t="shared" si="36"/>
        <v>2496</v>
      </c>
      <c r="L22" s="125">
        <f>J22*10</f>
        <v>960</v>
      </c>
      <c r="M22" s="179">
        <f t="shared" si="1"/>
        <v>10</v>
      </c>
      <c r="N22" s="84">
        <f t="shared" si="2"/>
        <v>0.38461538461538464</v>
      </c>
      <c r="O22" s="148">
        <v>137.6</v>
      </c>
      <c r="P22" s="135">
        <f t="shared" si="22"/>
        <v>11.466666666666667</v>
      </c>
      <c r="Q22" s="9">
        <f t="shared" si="3"/>
        <v>0</v>
      </c>
      <c r="R22" s="9">
        <v>0</v>
      </c>
      <c r="S22" s="29">
        <f t="shared" si="4"/>
        <v>0</v>
      </c>
      <c r="T22" s="29">
        <v>0</v>
      </c>
      <c r="U22" s="121">
        <f t="shared" si="23"/>
        <v>0</v>
      </c>
      <c r="V22" s="36">
        <f>VLOOKUP(F22,'[1]Proposta HNK para Tenda'!$F:$T,15,0)</f>
        <v>13.49</v>
      </c>
      <c r="W22" s="36">
        <f>VLOOKUP(F22,'[1]Proposta HNK para Tenda'!$F:$U,16,0)</f>
        <v>13.49</v>
      </c>
      <c r="X22" s="36"/>
      <c r="Y22" s="45">
        <f t="shared" si="5"/>
        <v>0</v>
      </c>
      <c r="Z22" s="8">
        <f t="shared" si="6"/>
        <v>132096</v>
      </c>
      <c r="AA22" s="32">
        <f>L22*12*0.6/100</f>
        <v>69.12</v>
      </c>
      <c r="AB22" s="43"/>
      <c r="AC22" s="44">
        <f t="shared" si="7"/>
        <v>0</v>
      </c>
      <c r="AD22" s="39">
        <f t="shared" si="8"/>
        <v>0</v>
      </c>
      <c r="AE22" s="39">
        <f t="shared" si="37"/>
        <v>0</v>
      </c>
      <c r="AG22" s="137">
        <v>0</v>
      </c>
      <c r="AH22" s="137">
        <f t="shared" si="9"/>
        <v>0</v>
      </c>
      <c r="AI22" s="137">
        <f t="shared" si="10"/>
        <v>0</v>
      </c>
      <c r="AJ22" s="7"/>
      <c r="AK22" s="7">
        <f t="shared" si="11"/>
        <v>0</v>
      </c>
      <c r="AL22" s="7">
        <f t="shared" si="12"/>
        <v>0</v>
      </c>
      <c r="AM22" s="7">
        <v>0</v>
      </c>
      <c r="AN22" s="137">
        <f t="shared" si="13"/>
        <v>0</v>
      </c>
      <c r="AO22" s="137">
        <f t="shared" si="14"/>
        <v>0</v>
      </c>
      <c r="AP22" s="7">
        <f t="shared" si="15"/>
        <v>0</v>
      </c>
      <c r="AQ22" s="7">
        <f t="shared" si="16"/>
        <v>0</v>
      </c>
      <c r="AR22" s="40">
        <f t="shared" si="17"/>
        <v>0</v>
      </c>
      <c r="AS22" s="83">
        <f t="shared" si="38"/>
        <v>0</v>
      </c>
      <c r="AT22" s="7">
        <f t="shared" si="18"/>
        <v>11.466666666666667</v>
      </c>
      <c r="AU22" s="40">
        <f t="shared" si="19"/>
        <v>11.466666666666667</v>
      </c>
      <c r="AV22" s="41">
        <f t="shared" si="20"/>
        <v>0.14998764516926119</v>
      </c>
      <c r="AX22" s="150">
        <f t="shared" si="39"/>
        <v>13.49</v>
      </c>
      <c r="AY22" s="151">
        <f t="shared" si="28"/>
        <v>0</v>
      </c>
      <c r="AZ22" s="160">
        <f t="shared" si="26"/>
        <v>13.49</v>
      </c>
      <c r="BA22" s="164"/>
      <c r="BC22" s="86" t="s">
        <v>121</v>
      </c>
      <c r="BD22" s="86" t="s">
        <v>263</v>
      </c>
      <c r="BE22" s="87" t="s">
        <v>268</v>
      </c>
      <c r="BF22" s="87">
        <v>392558326113</v>
      </c>
      <c r="BG22" s="86" t="s">
        <v>269</v>
      </c>
      <c r="BH22" s="86">
        <v>2911</v>
      </c>
      <c r="BI22" s="86" t="s">
        <v>270</v>
      </c>
      <c r="BJ22" s="86">
        <v>12321150</v>
      </c>
      <c r="BK22" s="86" t="s">
        <v>271</v>
      </c>
      <c r="BL22" s="86" t="s">
        <v>108</v>
      </c>
    </row>
    <row r="23" spans="1:64" ht="14.25" customHeight="1" thickBot="1" x14ac:dyDescent="0.25">
      <c r="A23" s="50">
        <v>7.9200000000000007E-2</v>
      </c>
      <c r="B23" s="27">
        <v>26</v>
      </c>
      <c r="C23" s="47">
        <f t="shared" si="35"/>
        <v>328.28282828282823</v>
      </c>
      <c r="D23" s="47" t="s">
        <v>74</v>
      </c>
      <c r="E23" s="47" t="s">
        <v>78</v>
      </c>
      <c r="F23" s="20">
        <v>904701</v>
      </c>
      <c r="G23" s="20">
        <v>1022426</v>
      </c>
      <c r="H23" s="11" t="s">
        <v>60</v>
      </c>
      <c r="I23" s="22">
        <v>24</v>
      </c>
      <c r="J23" s="22">
        <v>91</v>
      </c>
      <c r="K23" s="10">
        <v>2366</v>
      </c>
      <c r="L23" s="125">
        <v>1274</v>
      </c>
      <c r="M23" s="179">
        <f t="shared" si="1"/>
        <v>14</v>
      </c>
      <c r="N23" s="84">
        <f t="shared" si="2"/>
        <v>0.53846153846153844</v>
      </c>
      <c r="O23" s="148">
        <v>122.2</v>
      </c>
      <c r="P23" s="135">
        <f t="shared" si="22"/>
        <v>5.0916666666666668</v>
      </c>
      <c r="Q23" s="13">
        <f t="shared" si="3"/>
        <v>1.44</v>
      </c>
      <c r="R23" s="13">
        <v>0.06</v>
      </c>
      <c r="S23" s="74">
        <f t="shared" si="4"/>
        <v>1.2000000000000002</v>
      </c>
      <c r="T23" s="74">
        <v>0.05</v>
      </c>
      <c r="U23" s="121">
        <f t="shared" si="23"/>
        <v>0.11</v>
      </c>
      <c r="V23" s="36">
        <v>5.49</v>
      </c>
      <c r="W23" s="36">
        <v>5.09</v>
      </c>
      <c r="X23" s="36"/>
      <c r="Y23" s="45">
        <f t="shared" si="5"/>
        <v>3363.36</v>
      </c>
      <c r="Z23" s="8">
        <f t="shared" si="6"/>
        <v>155682.80000000002</v>
      </c>
      <c r="AA23" s="32">
        <f>L23*24*0.33/100</f>
        <v>100.9008</v>
      </c>
      <c r="AB23" s="43"/>
      <c r="AC23" s="44">
        <f t="shared" si="7"/>
        <v>0.119493</v>
      </c>
      <c r="AD23" s="39">
        <f t="shared" si="8"/>
        <v>0.11</v>
      </c>
      <c r="AE23" s="39">
        <f t="shared" si="37"/>
        <v>9.4930000000000014E-3</v>
      </c>
      <c r="AG23" s="175">
        <v>36.21</v>
      </c>
      <c r="AH23" s="175">
        <f t="shared" si="9"/>
        <v>3653.617968</v>
      </c>
      <c r="AI23" s="175">
        <f t="shared" si="10"/>
        <v>0.119493</v>
      </c>
      <c r="AJ23" s="7"/>
      <c r="AK23" s="7">
        <f t="shared" si="11"/>
        <v>0</v>
      </c>
      <c r="AL23" s="7">
        <f t="shared" si="12"/>
        <v>0</v>
      </c>
      <c r="AM23" s="7">
        <v>0</v>
      </c>
      <c r="AN23" s="137">
        <f t="shared" si="13"/>
        <v>0</v>
      </c>
      <c r="AO23" s="137">
        <f t="shared" si="14"/>
        <v>0</v>
      </c>
      <c r="AP23" s="7">
        <f t="shared" si="15"/>
        <v>3653.617968</v>
      </c>
      <c r="AQ23" s="7">
        <f t="shared" si="16"/>
        <v>0.119493</v>
      </c>
      <c r="AR23" s="40">
        <f t="shared" si="17"/>
        <v>3363.36</v>
      </c>
      <c r="AS23" s="40">
        <f t="shared" si="38"/>
        <v>290.25796799999989</v>
      </c>
      <c r="AT23" s="7">
        <f t="shared" si="18"/>
        <v>5.0916666666666668</v>
      </c>
      <c r="AU23" s="40">
        <f t="shared" si="19"/>
        <v>4.9816666666666674</v>
      </c>
      <c r="AV23" s="41">
        <f t="shared" si="20"/>
        <v>2.1283562540929765E-2</v>
      </c>
      <c r="AX23" s="150">
        <f t="shared" si="39"/>
        <v>5.09</v>
      </c>
      <c r="AY23" s="151">
        <f t="shared" si="28"/>
        <v>0</v>
      </c>
      <c r="AZ23" s="160">
        <f t="shared" si="26"/>
        <v>5.09</v>
      </c>
      <c r="BA23" s="164"/>
      <c r="BC23" s="86" t="s">
        <v>121</v>
      </c>
      <c r="BD23" s="86" t="s">
        <v>263</v>
      </c>
      <c r="BE23" s="87" t="s">
        <v>268</v>
      </c>
      <c r="BF23" s="87">
        <v>392558326113</v>
      </c>
      <c r="BG23" s="86" t="s">
        <v>269</v>
      </c>
      <c r="BH23" s="86">
        <v>2911</v>
      </c>
      <c r="BI23" s="86" t="s">
        <v>270</v>
      </c>
      <c r="BJ23" s="86">
        <v>12321150</v>
      </c>
      <c r="BK23" s="86" t="s">
        <v>271</v>
      </c>
      <c r="BL23" s="86" t="s">
        <v>108</v>
      </c>
    </row>
    <row r="24" spans="1:64" ht="14.25" customHeight="1" thickBot="1" x14ac:dyDescent="0.25">
      <c r="A24" s="50">
        <v>7.9200000000000007E-2</v>
      </c>
      <c r="B24" s="27">
        <v>26</v>
      </c>
      <c r="C24" s="47">
        <f t="shared" si="35"/>
        <v>328.28282828282823</v>
      </c>
      <c r="D24" s="47" t="s">
        <v>74</v>
      </c>
      <c r="E24" s="47" t="s">
        <v>78</v>
      </c>
      <c r="F24" s="20" t="s">
        <v>253</v>
      </c>
      <c r="G24" s="20">
        <v>1228753</v>
      </c>
      <c r="H24" s="11" t="s">
        <v>246</v>
      </c>
      <c r="I24" s="20">
        <v>24</v>
      </c>
      <c r="J24" s="20">
        <v>91</v>
      </c>
      <c r="K24" s="123">
        <v>2366</v>
      </c>
      <c r="L24" s="125">
        <f>J24*7</f>
        <v>637</v>
      </c>
      <c r="M24" s="179">
        <f t="shared" si="1"/>
        <v>7</v>
      </c>
      <c r="N24" s="84">
        <f t="shared" si="2"/>
        <v>0.26923076923076922</v>
      </c>
      <c r="O24" s="148">
        <v>122.2</v>
      </c>
      <c r="P24" s="135">
        <f t="shared" si="22"/>
        <v>5.0916666666666668</v>
      </c>
      <c r="Q24" s="13">
        <f t="shared" si="3"/>
        <v>1.44</v>
      </c>
      <c r="R24" s="13">
        <v>0.06</v>
      </c>
      <c r="S24" s="74">
        <f t="shared" si="4"/>
        <v>1.2000000000000002</v>
      </c>
      <c r="T24" s="74">
        <v>0.05</v>
      </c>
      <c r="U24" s="121">
        <f t="shared" si="23"/>
        <v>0.11</v>
      </c>
      <c r="V24" s="36">
        <v>5.99</v>
      </c>
      <c r="W24" s="36">
        <v>5.7900000000000009</v>
      </c>
      <c r="X24" s="36"/>
      <c r="Y24" s="45">
        <f t="shared" si="5"/>
        <v>1681.68</v>
      </c>
      <c r="Z24" s="8">
        <f t="shared" si="6"/>
        <v>77841.400000000009</v>
      </c>
      <c r="AA24" s="32">
        <f>L24*24*0.33/100</f>
        <v>50.450400000000002</v>
      </c>
      <c r="AB24" s="43"/>
      <c r="AC24" s="44">
        <f t="shared" ref="AC24" si="40">SUM(AI24,AL24,AO24)</f>
        <v>0.119493</v>
      </c>
      <c r="AD24" s="39">
        <f t="shared" ref="AD24" si="41">SUM(R24,T24)</f>
        <v>0.11</v>
      </c>
      <c r="AE24" s="39">
        <f t="shared" ref="AE24" si="42">AC24-AD24</f>
        <v>9.4930000000000014E-3</v>
      </c>
      <c r="AG24" s="175">
        <v>36.21</v>
      </c>
      <c r="AH24" s="175">
        <f t="shared" si="9"/>
        <v>1826.808984</v>
      </c>
      <c r="AI24" s="175">
        <f t="shared" si="10"/>
        <v>0.119493</v>
      </c>
      <c r="AJ24" s="7"/>
      <c r="AK24" s="7">
        <f t="shared" si="11"/>
        <v>0</v>
      </c>
      <c r="AL24" s="7">
        <f t="shared" si="12"/>
        <v>0</v>
      </c>
      <c r="AM24" s="7">
        <v>0</v>
      </c>
      <c r="AN24" s="137">
        <f t="shared" si="13"/>
        <v>0</v>
      </c>
      <c r="AO24" s="137">
        <f t="shared" si="14"/>
        <v>0</v>
      </c>
      <c r="AP24" s="7">
        <f t="shared" ref="AP24" si="43">SUM(AH24,AK24,AN24)</f>
        <v>1826.808984</v>
      </c>
      <c r="AQ24" s="7">
        <f t="shared" ref="AQ24" si="44">SUM(AI24,AL24,AO24)</f>
        <v>0.119493</v>
      </c>
      <c r="AR24" s="40">
        <f t="shared" si="17"/>
        <v>1681.68</v>
      </c>
      <c r="AS24" s="40">
        <f t="shared" ref="AS24" si="45">AP24-AR24</f>
        <v>145.12898399999995</v>
      </c>
      <c r="AT24" s="7">
        <f t="shared" si="18"/>
        <v>5.0916666666666668</v>
      </c>
      <c r="AU24" s="40">
        <f t="shared" si="19"/>
        <v>4.9816666666666674</v>
      </c>
      <c r="AV24" s="41">
        <f t="shared" si="20"/>
        <v>0.13960852043753599</v>
      </c>
      <c r="AX24" s="150">
        <f t="shared" si="39"/>
        <v>5.7900000000000009</v>
      </c>
      <c r="AY24" s="151">
        <f t="shared" si="28"/>
        <v>0</v>
      </c>
      <c r="AZ24" s="160">
        <f t="shared" si="26"/>
        <v>5.7900000000000009</v>
      </c>
      <c r="BA24" s="164"/>
      <c r="BC24" s="86" t="s">
        <v>121</v>
      </c>
      <c r="BD24" s="86" t="s">
        <v>263</v>
      </c>
      <c r="BE24" s="87" t="s">
        <v>268</v>
      </c>
      <c r="BF24" s="87">
        <v>392558326113</v>
      </c>
      <c r="BG24" s="86" t="s">
        <v>269</v>
      </c>
      <c r="BH24" s="86">
        <v>2911</v>
      </c>
      <c r="BI24" s="86" t="s">
        <v>270</v>
      </c>
      <c r="BJ24" s="86">
        <v>12321150</v>
      </c>
      <c r="BK24" s="86" t="s">
        <v>271</v>
      </c>
      <c r="BL24" s="86" t="s">
        <v>108</v>
      </c>
    </row>
    <row r="25" spans="1:64" ht="14.25" customHeight="1" thickBot="1" x14ac:dyDescent="0.25">
      <c r="A25" s="52">
        <f>5*2/100</f>
        <v>0.1</v>
      </c>
      <c r="B25" s="27">
        <f>VLOOKUP(F25,Planilha3!D:F,3,0)</f>
        <v>282.36335043220521</v>
      </c>
      <c r="C25" s="47">
        <f t="shared" si="35"/>
        <v>2823.633504322052</v>
      </c>
      <c r="D25" s="47" t="s">
        <v>74</v>
      </c>
      <c r="E25" s="47" t="s">
        <v>75</v>
      </c>
      <c r="F25" s="20">
        <v>903483</v>
      </c>
      <c r="G25" s="20">
        <v>75013</v>
      </c>
      <c r="H25" s="11" t="s">
        <v>0</v>
      </c>
      <c r="I25" s="20">
        <v>2</v>
      </c>
      <c r="J25" s="20">
        <v>90</v>
      </c>
      <c r="K25" s="123">
        <f>J25*26</f>
        <v>2340</v>
      </c>
      <c r="L25" s="125">
        <v>2340</v>
      </c>
      <c r="M25" s="179">
        <f t="shared" si="1"/>
        <v>26</v>
      </c>
      <c r="N25" s="84">
        <f t="shared" si="2"/>
        <v>1</v>
      </c>
      <c r="O25" s="148">
        <v>177.63</v>
      </c>
      <c r="P25" s="135">
        <f t="shared" si="22"/>
        <v>88.814999999999998</v>
      </c>
      <c r="Q25" s="9">
        <f t="shared" si="3"/>
        <v>0</v>
      </c>
      <c r="R25" s="9">
        <v>0</v>
      </c>
      <c r="S25" s="29">
        <f t="shared" si="4"/>
        <v>0</v>
      </c>
      <c r="T25" s="29">
        <v>0</v>
      </c>
      <c r="U25" s="121">
        <f t="shared" si="23"/>
        <v>0</v>
      </c>
      <c r="V25" s="36">
        <f>VLOOKUP(F25,'[1]Proposta HNK para Tenda'!$F:$T,15,0)</f>
        <v>113.99</v>
      </c>
      <c r="W25" s="36">
        <f>VLOOKUP(F25,'[1]Proposta HNK para Tenda'!$F:$U,16,0)</f>
        <v>113.99</v>
      </c>
      <c r="X25" s="36"/>
      <c r="Y25" s="45">
        <f t="shared" si="5"/>
        <v>0</v>
      </c>
      <c r="Z25" s="8">
        <f t="shared" si="6"/>
        <v>415654.2</v>
      </c>
      <c r="AA25" s="32">
        <f>L25*2*5/100</f>
        <v>234</v>
      </c>
      <c r="AB25" s="43"/>
      <c r="AC25" s="44">
        <f t="shared" si="7"/>
        <v>0</v>
      </c>
      <c r="AD25" s="39">
        <f t="shared" si="8"/>
        <v>0</v>
      </c>
      <c r="AE25" s="39">
        <f t="shared" si="37"/>
        <v>0</v>
      </c>
      <c r="AG25" s="137">
        <v>0</v>
      </c>
      <c r="AH25" s="137">
        <f t="shared" si="9"/>
        <v>0</v>
      </c>
      <c r="AI25" s="137">
        <f t="shared" si="10"/>
        <v>0</v>
      </c>
      <c r="AJ25" s="7"/>
      <c r="AK25" s="7">
        <f t="shared" si="11"/>
        <v>0</v>
      </c>
      <c r="AL25" s="7">
        <f t="shared" si="12"/>
        <v>0</v>
      </c>
      <c r="AM25" s="7">
        <v>0</v>
      </c>
      <c r="AN25" s="137">
        <f t="shared" si="13"/>
        <v>0</v>
      </c>
      <c r="AO25" s="137">
        <f t="shared" si="14"/>
        <v>0</v>
      </c>
      <c r="AP25" s="7">
        <f t="shared" si="15"/>
        <v>0</v>
      </c>
      <c r="AQ25" s="7">
        <f t="shared" si="16"/>
        <v>0</v>
      </c>
      <c r="AR25" s="40">
        <f t="shared" si="17"/>
        <v>0</v>
      </c>
      <c r="AS25" s="40">
        <f t="shared" si="38"/>
        <v>0</v>
      </c>
      <c r="AT25" s="7">
        <f t="shared" si="18"/>
        <v>88.814999999999998</v>
      </c>
      <c r="AU25" s="40">
        <f t="shared" si="19"/>
        <v>88.814999999999998</v>
      </c>
      <c r="AV25" s="41">
        <f t="shared" si="20"/>
        <v>0.22085270637775242</v>
      </c>
      <c r="AX25" s="150">
        <f t="shared" si="39"/>
        <v>113.99</v>
      </c>
      <c r="AY25" s="151">
        <f t="shared" si="28"/>
        <v>0</v>
      </c>
      <c r="AZ25" s="160">
        <f t="shared" si="26"/>
        <v>113.99</v>
      </c>
      <c r="BA25" s="164"/>
      <c r="BC25" s="86" t="s">
        <v>117</v>
      </c>
      <c r="BD25" s="86" t="s">
        <v>263</v>
      </c>
      <c r="BE25" s="87" t="s">
        <v>275</v>
      </c>
      <c r="BF25" s="87" t="s">
        <v>276</v>
      </c>
      <c r="BG25" s="86" t="s">
        <v>277</v>
      </c>
      <c r="BH25" s="86">
        <v>199</v>
      </c>
      <c r="BI25" s="86" t="s">
        <v>118</v>
      </c>
      <c r="BJ25" s="86">
        <v>84043610</v>
      </c>
      <c r="BK25" s="86" t="s">
        <v>117</v>
      </c>
      <c r="BL25" s="86" t="s">
        <v>119</v>
      </c>
    </row>
    <row r="26" spans="1:64" ht="14.25" customHeight="1" thickBot="1" x14ac:dyDescent="0.25">
      <c r="A26" s="52">
        <f>0.355*6/100</f>
        <v>2.1299999999999999E-2</v>
      </c>
      <c r="B26" s="27"/>
      <c r="C26" s="47">
        <f t="shared" si="35"/>
        <v>0</v>
      </c>
      <c r="D26" s="47" t="s">
        <v>74</v>
      </c>
      <c r="E26" s="47" t="s">
        <v>141</v>
      </c>
      <c r="F26" s="173" t="s">
        <v>252</v>
      </c>
      <c r="G26" s="173">
        <v>1228751</v>
      </c>
      <c r="H26" s="11" t="s">
        <v>254</v>
      </c>
      <c r="I26" s="20">
        <v>6</v>
      </c>
      <c r="J26" s="20">
        <v>350</v>
      </c>
      <c r="K26" s="123">
        <f t="shared" ref="K26:K28" si="46">J26*26</f>
        <v>9100</v>
      </c>
      <c r="L26" s="125">
        <f>J26*5</f>
        <v>1750</v>
      </c>
      <c r="M26" s="179">
        <f t="shared" si="1"/>
        <v>5</v>
      </c>
      <c r="N26" s="84">
        <f t="shared" si="2"/>
        <v>0.19230769230769232</v>
      </c>
      <c r="O26" s="148">
        <v>33.07</v>
      </c>
      <c r="P26" s="135">
        <f t="shared" si="22"/>
        <v>5.5116666666666667</v>
      </c>
      <c r="Q26" s="9">
        <f t="shared" si="3"/>
        <v>0</v>
      </c>
      <c r="R26" s="9">
        <v>0</v>
      </c>
      <c r="S26" s="29">
        <f t="shared" si="4"/>
        <v>0</v>
      </c>
      <c r="T26" s="29">
        <v>0</v>
      </c>
      <c r="U26" s="121">
        <f t="shared" si="23"/>
        <v>0</v>
      </c>
      <c r="V26" s="36">
        <v>6.99</v>
      </c>
      <c r="W26" s="36">
        <v>6.49</v>
      </c>
      <c r="X26" s="36"/>
      <c r="Y26" s="45">
        <f t="shared" si="5"/>
        <v>0</v>
      </c>
      <c r="Z26" s="8">
        <f t="shared" si="6"/>
        <v>57872.5</v>
      </c>
      <c r="AA26" s="32">
        <f>L26*I26*0.35/100</f>
        <v>36.749999999999993</v>
      </c>
      <c r="AB26" s="43"/>
      <c r="AC26" s="44">
        <f t="shared" ref="AC26:AC28" si="47">SUM(AI26,AL26,AO26)</f>
        <v>0</v>
      </c>
      <c r="AD26" s="39">
        <f t="shared" ref="AD26:AD28" si="48">SUM(R26,T26)</f>
        <v>0</v>
      </c>
      <c r="AE26" s="39">
        <f t="shared" ref="AE26:AE28" si="49">AC26-AD26</f>
        <v>0</v>
      </c>
      <c r="AG26" s="137">
        <v>0</v>
      </c>
      <c r="AH26" s="137">
        <f t="shared" si="9"/>
        <v>0</v>
      </c>
      <c r="AI26" s="137">
        <f t="shared" si="10"/>
        <v>0</v>
      </c>
      <c r="AJ26" s="7"/>
      <c r="AK26" s="7">
        <f t="shared" si="11"/>
        <v>0</v>
      </c>
      <c r="AL26" s="7">
        <f t="shared" si="12"/>
        <v>0</v>
      </c>
      <c r="AM26" s="7">
        <v>0</v>
      </c>
      <c r="AN26" s="137">
        <f t="shared" si="13"/>
        <v>0</v>
      </c>
      <c r="AO26" s="137">
        <f t="shared" si="14"/>
        <v>0</v>
      </c>
      <c r="AP26" s="7">
        <f t="shared" ref="AP26:AP28" si="50">SUM(AH26,AK26,AN26)</f>
        <v>0</v>
      </c>
      <c r="AQ26" s="7">
        <f t="shared" ref="AQ26:AQ28" si="51">SUM(AI26,AL26,AO26)</f>
        <v>0</v>
      </c>
      <c r="AR26" s="40">
        <f t="shared" si="17"/>
        <v>0</v>
      </c>
      <c r="AS26" s="40">
        <f t="shared" ref="AS26:AS28" si="52">AP26-AR26</f>
        <v>0</v>
      </c>
      <c r="AT26" s="7">
        <f t="shared" si="18"/>
        <v>5.5116666666666667</v>
      </c>
      <c r="AU26" s="40">
        <f t="shared" si="19"/>
        <v>5.5116666666666667</v>
      </c>
      <c r="AV26" s="41">
        <f t="shared" si="20"/>
        <v>0.15074473549049822</v>
      </c>
      <c r="AX26" s="150">
        <f t="shared" si="39"/>
        <v>6.49</v>
      </c>
      <c r="AY26" s="151">
        <f t="shared" si="28"/>
        <v>0</v>
      </c>
      <c r="AZ26" s="160">
        <f t="shared" si="26"/>
        <v>6.49</v>
      </c>
      <c r="BA26" s="164"/>
      <c r="BC26" s="86" t="s">
        <v>106</v>
      </c>
      <c r="BD26" s="86" t="s">
        <v>263</v>
      </c>
      <c r="BE26" s="87" t="s">
        <v>264</v>
      </c>
      <c r="BF26" s="87">
        <v>387000650117</v>
      </c>
      <c r="BG26" s="86" t="s">
        <v>265</v>
      </c>
      <c r="BH26" s="86">
        <v>2222</v>
      </c>
      <c r="BI26" s="86" t="s">
        <v>266</v>
      </c>
      <c r="BJ26" s="86">
        <v>13312250</v>
      </c>
      <c r="BK26" s="86" t="s">
        <v>267</v>
      </c>
      <c r="BL26" s="86" t="s">
        <v>108</v>
      </c>
    </row>
    <row r="27" spans="1:64" ht="14.25" customHeight="1" thickBot="1" x14ac:dyDescent="0.25">
      <c r="A27" s="52">
        <f>0.355*24/100</f>
        <v>8.5199999999999998E-2</v>
      </c>
      <c r="B27" s="27"/>
      <c r="C27" s="47">
        <f t="shared" si="35"/>
        <v>0</v>
      </c>
      <c r="D27" s="47" t="s">
        <v>74</v>
      </c>
      <c r="E27" s="47" t="s">
        <v>141</v>
      </c>
      <c r="F27" s="171" t="s">
        <v>250</v>
      </c>
      <c r="G27" s="171">
        <v>1149563</v>
      </c>
      <c r="H27" s="172" t="s">
        <v>255</v>
      </c>
      <c r="I27" s="167">
        <v>24</v>
      </c>
      <c r="J27" s="167">
        <v>84</v>
      </c>
      <c r="K27" s="169">
        <f t="shared" si="46"/>
        <v>2184</v>
      </c>
      <c r="L27" s="170">
        <f>J27*4</f>
        <v>336</v>
      </c>
      <c r="M27" s="179">
        <f t="shared" si="1"/>
        <v>4</v>
      </c>
      <c r="N27" s="84">
        <f t="shared" si="2"/>
        <v>0.15384615384615385</v>
      </c>
      <c r="O27" s="148">
        <v>170.82</v>
      </c>
      <c r="P27" s="135">
        <f t="shared" si="22"/>
        <v>7.1174999999999997</v>
      </c>
      <c r="Q27" s="9">
        <f t="shared" si="3"/>
        <v>0</v>
      </c>
      <c r="R27" s="9">
        <v>0</v>
      </c>
      <c r="S27" s="29">
        <f t="shared" si="4"/>
        <v>0</v>
      </c>
      <c r="T27" s="29">
        <v>0</v>
      </c>
      <c r="U27" s="121">
        <f t="shared" si="23"/>
        <v>0</v>
      </c>
      <c r="V27" s="36">
        <v>9.49</v>
      </c>
      <c r="W27" s="36">
        <v>8.49</v>
      </c>
      <c r="X27" s="36"/>
      <c r="Y27" s="45">
        <f t="shared" si="5"/>
        <v>0</v>
      </c>
      <c r="Z27" s="8">
        <f t="shared" si="6"/>
        <v>57395.519999999997</v>
      </c>
      <c r="AA27" s="32">
        <f t="shared" ref="AA27" si="53">L27*I27*0.35/100</f>
        <v>28.223999999999997</v>
      </c>
      <c r="AB27" s="43"/>
      <c r="AC27" s="44">
        <f t="shared" si="47"/>
        <v>0</v>
      </c>
      <c r="AD27" s="39">
        <f t="shared" si="48"/>
        <v>0</v>
      </c>
      <c r="AE27" s="39">
        <f t="shared" si="49"/>
        <v>0</v>
      </c>
      <c r="AG27" s="137">
        <v>0</v>
      </c>
      <c r="AH27" s="137">
        <f t="shared" si="9"/>
        <v>0</v>
      </c>
      <c r="AI27" s="137">
        <f t="shared" si="10"/>
        <v>0</v>
      </c>
      <c r="AJ27" s="7"/>
      <c r="AK27" s="7">
        <f t="shared" si="11"/>
        <v>0</v>
      </c>
      <c r="AL27" s="7">
        <f t="shared" si="12"/>
        <v>0</v>
      </c>
      <c r="AM27" s="7">
        <v>0</v>
      </c>
      <c r="AN27" s="137">
        <f t="shared" si="13"/>
        <v>0</v>
      </c>
      <c r="AO27" s="137">
        <f t="shared" si="14"/>
        <v>0</v>
      </c>
      <c r="AP27" s="7">
        <f t="shared" si="50"/>
        <v>0</v>
      </c>
      <c r="AQ27" s="7">
        <f t="shared" si="51"/>
        <v>0</v>
      </c>
      <c r="AR27" s="40">
        <f t="shared" si="17"/>
        <v>0</v>
      </c>
      <c r="AS27" s="40">
        <f t="shared" si="52"/>
        <v>0</v>
      </c>
      <c r="AT27" s="7">
        <f t="shared" si="18"/>
        <v>7.1174999999999997</v>
      </c>
      <c r="AU27" s="40">
        <f t="shared" si="19"/>
        <v>7.1174999999999997</v>
      </c>
      <c r="AV27" s="41">
        <f t="shared" si="20"/>
        <v>0.16166077738515908</v>
      </c>
      <c r="AX27" s="150">
        <f t="shared" si="39"/>
        <v>8.49</v>
      </c>
      <c r="AY27" s="151">
        <f t="shared" si="28"/>
        <v>0</v>
      </c>
      <c r="AZ27" s="160">
        <f t="shared" si="26"/>
        <v>8.49</v>
      </c>
      <c r="BA27" s="164"/>
      <c r="BC27" s="86" t="s">
        <v>106</v>
      </c>
      <c r="BD27" s="86" t="s">
        <v>263</v>
      </c>
      <c r="BE27" s="87" t="s">
        <v>264</v>
      </c>
      <c r="BF27" s="87">
        <v>387000650117</v>
      </c>
      <c r="BG27" s="86" t="s">
        <v>265</v>
      </c>
      <c r="BH27" s="86">
        <v>2222</v>
      </c>
      <c r="BI27" s="86" t="s">
        <v>266</v>
      </c>
      <c r="BJ27" s="86">
        <v>13312250</v>
      </c>
      <c r="BK27" s="86" t="s">
        <v>267</v>
      </c>
      <c r="BL27" s="86" t="s">
        <v>108</v>
      </c>
    </row>
    <row r="28" spans="1:64" ht="14.25" customHeight="1" thickBot="1" x14ac:dyDescent="0.25">
      <c r="A28" s="52">
        <f>0.6*12/100</f>
        <v>7.1999999999999995E-2</v>
      </c>
      <c r="B28" s="27"/>
      <c r="C28" s="47">
        <f t="shared" si="35"/>
        <v>0</v>
      </c>
      <c r="D28" s="47" t="s">
        <v>74</v>
      </c>
      <c r="E28" s="47" t="s">
        <v>141</v>
      </c>
      <c r="F28" s="171" t="s">
        <v>251</v>
      </c>
      <c r="G28" s="171">
        <v>1149565</v>
      </c>
      <c r="H28" s="172" t="s">
        <v>256</v>
      </c>
      <c r="I28" s="167">
        <v>12</v>
      </c>
      <c r="J28" s="167">
        <v>60</v>
      </c>
      <c r="K28" s="169">
        <f t="shared" si="46"/>
        <v>1560</v>
      </c>
      <c r="L28" s="170">
        <f>J28*14</f>
        <v>840</v>
      </c>
      <c r="M28" s="179">
        <f t="shared" si="1"/>
        <v>14</v>
      </c>
      <c r="N28" s="84">
        <f t="shared" si="2"/>
        <v>0.53846153846153844</v>
      </c>
      <c r="O28" s="148">
        <v>136.71</v>
      </c>
      <c r="P28" s="135">
        <f t="shared" si="22"/>
        <v>11.3925</v>
      </c>
      <c r="Q28" s="9">
        <f t="shared" si="3"/>
        <v>0</v>
      </c>
      <c r="R28" s="9">
        <v>0</v>
      </c>
      <c r="S28" s="29">
        <f t="shared" si="4"/>
        <v>0</v>
      </c>
      <c r="T28" s="29">
        <v>0</v>
      </c>
      <c r="U28" s="121">
        <f t="shared" si="23"/>
        <v>0</v>
      </c>
      <c r="V28" s="36">
        <v>15.19</v>
      </c>
      <c r="W28" s="36">
        <v>13.29</v>
      </c>
      <c r="X28" s="36"/>
      <c r="Y28" s="45">
        <f t="shared" si="5"/>
        <v>0</v>
      </c>
      <c r="Z28" s="8">
        <f t="shared" si="6"/>
        <v>114836.40000000001</v>
      </c>
      <c r="AA28" s="32">
        <f>L28*I28*0.6/100</f>
        <v>60.48</v>
      </c>
      <c r="AB28" s="43"/>
      <c r="AC28" s="44">
        <f t="shared" si="47"/>
        <v>0</v>
      </c>
      <c r="AD28" s="39">
        <f t="shared" si="48"/>
        <v>0</v>
      </c>
      <c r="AE28" s="39">
        <f t="shared" si="49"/>
        <v>0</v>
      </c>
      <c r="AG28" s="137">
        <v>0</v>
      </c>
      <c r="AH28" s="137">
        <f t="shared" si="9"/>
        <v>0</v>
      </c>
      <c r="AI28" s="137">
        <f t="shared" si="10"/>
        <v>0</v>
      </c>
      <c r="AJ28" s="7"/>
      <c r="AK28" s="7">
        <f t="shared" si="11"/>
        <v>0</v>
      </c>
      <c r="AL28" s="7">
        <f t="shared" si="12"/>
        <v>0</v>
      </c>
      <c r="AM28" s="7">
        <v>0</v>
      </c>
      <c r="AN28" s="137">
        <f t="shared" si="13"/>
        <v>0</v>
      </c>
      <c r="AO28" s="137">
        <f t="shared" si="14"/>
        <v>0</v>
      </c>
      <c r="AP28" s="7">
        <f t="shared" si="50"/>
        <v>0</v>
      </c>
      <c r="AQ28" s="7">
        <f t="shared" si="51"/>
        <v>0</v>
      </c>
      <c r="AR28" s="40">
        <f t="shared" si="17"/>
        <v>0</v>
      </c>
      <c r="AS28" s="40">
        <f t="shared" si="52"/>
        <v>0</v>
      </c>
      <c r="AT28" s="7">
        <f t="shared" si="18"/>
        <v>11.3925</v>
      </c>
      <c r="AU28" s="40">
        <f t="shared" si="19"/>
        <v>11.3925</v>
      </c>
      <c r="AV28" s="41">
        <f t="shared" si="20"/>
        <v>0.14277652370203153</v>
      </c>
      <c r="AX28" s="150">
        <f t="shared" si="39"/>
        <v>13.29</v>
      </c>
      <c r="AY28" s="151">
        <f t="shared" si="28"/>
        <v>0</v>
      </c>
      <c r="AZ28" s="160">
        <f t="shared" si="26"/>
        <v>13.29</v>
      </c>
      <c r="BA28" s="164"/>
      <c r="BC28" s="86" t="s">
        <v>106</v>
      </c>
      <c r="BD28" s="86" t="s">
        <v>263</v>
      </c>
      <c r="BE28" s="87" t="s">
        <v>264</v>
      </c>
      <c r="BF28" s="87">
        <v>387000650117</v>
      </c>
      <c r="BG28" s="86" t="s">
        <v>265</v>
      </c>
      <c r="BH28" s="86">
        <v>2222</v>
      </c>
      <c r="BI28" s="86" t="s">
        <v>266</v>
      </c>
      <c r="BJ28" s="86">
        <v>13312250</v>
      </c>
      <c r="BK28" s="86" t="s">
        <v>267</v>
      </c>
      <c r="BL28" s="86" t="s">
        <v>108</v>
      </c>
    </row>
    <row r="29" spans="1:64" s="106" customFormat="1" ht="14.25" customHeight="1" thickBot="1" x14ac:dyDescent="0.25">
      <c r="A29" s="89">
        <v>7.1999999999999995E-2</v>
      </c>
      <c r="B29" s="27">
        <f>VLOOKUP(F29,Planilha3!D:F,3,0)</f>
        <v>7.4611665297500274</v>
      </c>
      <c r="C29" s="90">
        <f t="shared" si="35"/>
        <v>103.62731291319483</v>
      </c>
      <c r="D29" s="90" t="s">
        <v>76</v>
      </c>
      <c r="E29" s="90" t="s">
        <v>80</v>
      </c>
      <c r="F29" s="91">
        <v>902832</v>
      </c>
      <c r="G29" s="91">
        <v>1046669</v>
      </c>
      <c r="H29" s="92" t="s">
        <v>28</v>
      </c>
      <c r="I29" s="93">
        <v>12</v>
      </c>
      <c r="J29" s="93">
        <v>60</v>
      </c>
      <c r="K29" s="94">
        <f>J29*24</f>
        <v>1440</v>
      </c>
      <c r="L29" s="125">
        <v>600</v>
      </c>
      <c r="M29" s="180">
        <f t="shared" si="1"/>
        <v>10</v>
      </c>
      <c r="N29" s="95">
        <f t="shared" si="2"/>
        <v>0.41666666666666669</v>
      </c>
      <c r="O29" s="148">
        <v>134.52000000000001</v>
      </c>
      <c r="P29" s="135">
        <f t="shared" si="22"/>
        <v>11.21</v>
      </c>
      <c r="Q29" s="96">
        <f t="shared" si="3"/>
        <v>0</v>
      </c>
      <c r="R29" s="96">
        <v>0</v>
      </c>
      <c r="S29" s="97">
        <f t="shared" si="4"/>
        <v>0</v>
      </c>
      <c r="T29" s="97">
        <v>0</v>
      </c>
      <c r="U29" s="121">
        <f t="shared" si="23"/>
        <v>0</v>
      </c>
      <c r="V29" s="36">
        <f>VLOOKUP(F29,'[1]Proposta HNK para Tenda'!$F:$T,15,0)</f>
        <v>14.19</v>
      </c>
      <c r="W29" s="36">
        <f>VLOOKUP(F29,'[1]Proposta HNK para Tenda'!$F:$U,16,0)</f>
        <v>14.19</v>
      </c>
      <c r="X29" s="36"/>
      <c r="Y29" s="98">
        <f t="shared" si="5"/>
        <v>0</v>
      </c>
      <c r="Z29" s="99">
        <f t="shared" si="6"/>
        <v>80712</v>
      </c>
      <c r="AA29" s="100">
        <f>L29*12*0.6/100</f>
        <v>43.2</v>
      </c>
      <c r="AB29" s="101"/>
      <c r="AC29" s="44">
        <f t="shared" si="7"/>
        <v>0</v>
      </c>
      <c r="AD29" s="102">
        <f t="shared" si="8"/>
        <v>0</v>
      </c>
      <c r="AE29" s="102">
        <f t="shared" si="37"/>
        <v>0</v>
      </c>
      <c r="AG29" s="137">
        <v>0</v>
      </c>
      <c r="AH29" s="138">
        <f t="shared" si="9"/>
        <v>0</v>
      </c>
      <c r="AI29" s="138">
        <f t="shared" si="10"/>
        <v>0</v>
      </c>
      <c r="AJ29" s="103"/>
      <c r="AK29" s="103">
        <f t="shared" si="11"/>
        <v>0</v>
      </c>
      <c r="AL29" s="103">
        <f t="shared" si="12"/>
        <v>0</v>
      </c>
      <c r="AM29" s="7">
        <v>0</v>
      </c>
      <c r="AN29" s="138">
        <f t="shared" si="13"/>
        <v>0</v>
      </c>
      <c r="AO29" s="138">
        <f t="shared" si="14"/>
        <v>0</v>
      </c>
      <c r="AP29" s="103">
        <f t="shared" si="15"/>
        <v>0</v>
      </c>
      <c r="AQ29" s="103">
        <f t="shared" si="16"/>
        <v>0</v>
      </c>
      <c r="AR29" s="104">
        <f t="shared" si="17"/>
        <v>0</v>
      </c>
      <c r="AS29" s="104">
        <f t="shared" si="38"/>
        <v>0</v>
      </c>
      <c r="AT29" s="103">
        <f t="shared" si="18"/>
        <v>11.21</v>
      </c>
      <c r="AU29" s="104">
        <f t="shared" si="19"/>
        <v>11.21</v>
      </c>
      <c r="AV29" s="105">
        <f t="shared" si="20"/>
        <v>0.21000704721634944</v>
      </c>
      <c r="AX29" s="150">
        <f t="shared" si="39"/>
        <v>14.19</v>
      </c>
      <c r="AY29" s="151">
        <f t="shared" si="28"/>
        <v>0</v>
      </c>
      <c r="AZ29" s="160">
        <f t="shared" si="26"/>
        <v>14.19</v>
      </c>
      <c r="BA29" s="164"/>
      <c r="BC29" s="86" t="s">
        <v>106</v>
      </c>
      <c r="BD29" s="86" t="s">
        <v>263</v>
      </c>
      <c r="BE29" s="87" t="s">
        <v>264</v>
      </c>
      <c r="BF29" s="87">
        <v>387000650117</v>
      </c>
      <c r="BG29" s="86" t="s">
        <v>265</v>
      </c>
      <c r="BH29" s="86">
        <v>2222</v>
      </c>
      <c r="BI29" s="86" t="s">
        <v>266</v>
      </c>
      <c r="BJ29" s="86">
        <v>13312250</v>
      </c>
      <c r="BK29" s="86" t="s">
        <v>267</v>
      </c>
      <c r="BL29" s="86" t="s">
        <v>108</v>
      </c>
    </row>
    <row r="30" spans="1:64" s="106" customFormat="1" ht="14.25" customHeight="1" thickBot="1" x14ac:dyDescent="0.25">
      <c r="A30" s="89">
        <v>7.1999999999999995E-2</v>
      </c>
      <c r="B30" s="27">
        <f>VLOOKUP(F30,Planilha3!D:F,3,0)</f>
        <v>5.9481990031035448</v>
      </c>
      <c r="C30" s="90">
        <f t="shared" si="35"/>
        <v>82.613875043104798</v>
      </c>
      <c r="D30" s="90" t="s">
        <v>76</v>
      </c>
      <c r="E30" s="90" t="s">
        <v>80</v>
      </c>
      <c r="F30" s="93">
        <v>900118</v>
      </c>
      <c r="G30" s="93">
        <v>1017028</v>
      </c>
      <c r="H30" s="92" t="s">
        <v>26</v>
      </c>
      <c r="I30" s="93">
        <v>12</v>
      </c>
      <c r="J30" s="93">
        <v>60</v>
      </c>
      <c r="K30" s="94">
        <f t="shared" ref="K30:K39" si="54">J30*24</f>
        <v>1440</v>
      </c>
      <c r="L30" s="125">
        <v>80</v>
      </c>
      <c r="M30" s="180">
        <f t="shared" si="1"/>
        <v>1.3333333333333333</v>
      </c>
      <c r="N30" s="95">
        <f t="shared" si="2"/>
        <v>5.5555555555555552E-2</v>
      </c>
      <c r="O30" s="148">
        <v>134.52000000000001</v>
      </c>
      <c r="P30" s="135">
        <f t="shared" si="22"/>
        <v>11.21</v>
      </c>
      <c r="Q30" s="96">
        <f t="shared" si="3"/>
        <v>0</v>
      </c>
      <c r="R30" s="96">
        <v>0</v>
      </c>
      <c r="S30" s="97">
        <f t="shared" si="4"/>
        <v>0</v>
      </c>
      <c r="T30" s="97">
        <v>0</v>
      </c>
      <c r="U30" s="121">
        <f t="shared" si="23"/>
        <v>0</v>
      </c>
      <c r="V30" s="36">
        <f>VLOOKUP(F30,'[1]Proposta HNK para Tenda'!$F:$T,15,0)</f>
        <v>14.19</v>
      </c>
      <c r="W30" s="36">
        <f>VLOOKUP(F30,'[1]Proposta HNK para Tenda'!$F:$U,16,0)</f>
        <v>14.19</v>
      </c>
      <c r="X30" s="36"/>
      <c r="Y30" s="98">
        <f t="shared" si="5"/>
        <v>0</v>
      </c>
      <c r="Z30" s="99">
        <f t="shared" si="6"/>
        <v>10761.6</v>
      </c>
      <c r="AA30" s="100">
        <f>L30*12*0.6/100</f>
        <v>5.76</v>
      </c>
      <c r="AB30" s="101"/>
      <c r="AC30" s="44">
        <f t="shared" si="7"/>
        <v>0</v>
      </c>
      <c r="AD30" s="102">
        <f t="shared" si="8"/>
        <v>0</v>
      </c>
      <c r="AE30" s="102">
        <f t="shared" si="37"/>
        <v>0</v>
      </c>
      <c r="AG30" s="137">
        <v>0</v>
      </c>
      <c r="AH30" s="138">
        <f t="shared" si="9"/>
        <v>0</v>
      </c>
      <c r="AI30" s="138">
        <f t="shared" si="10"/>
        <v>0</v>
      </c>
      <c r="AJ30" s="103"/>
      <c r="AK30" s="103">
        <f t="shared" si="11"/>
        <v>0</v>
      </c>
      <c r="AL30" s="103">
        <f t="shared" si="12"/>
        <v>0</v>
      </c>
      <c r="AM30" s="7">
        <v>0</v>
      </c>
      <c r="AN30" s="138">
        <f t="shared" si="13"/>
        <v>0</v>
      </c>
      <c r="AO30" s="138">
        <f t="shared" si="14"/>
        <v>0</v>
      </c>
      <c r="AP30" s="103">
        <f t="shared" si="15"/>
        <v>0</v>
      </c>
      <c r="AQ30" s="103">
        <f t="shared" si="16"/>
        <v>0</v>
      </c>
      <c r="AR30" s="104">
        <f t="shared" si="17"/>
        <v>0</v>
      </c>
      <c r="AS30" s="104">
        <f t="shared" si="38"/>
        <v>0</v>
      </c>
      <c r="AT30" s="103">
        <f t="shared" si="18"/>
        <v>11.21</v>
      </c>
      <c r="AU30" s="104">
        <f t="shared" si="19"/>
        <v>11.21</v>
      </c>
      <c r="AV30" s="105">
        <f t="shared" si="20"/>
        <v>0.21000704721634944</v>
      </c>
      <c r="AX30" s="150">
        <f t="shared" si="39"/>
        <v>14.19</v>
      </c>
      <c r="AY30" s="151">
        <f t="shared" si="28"/>
        <v>0</v>
      </c>
      <c r="AZ30" s="160">
        <f t="shared" si="26"/>
        <v>14.19</v>
      </c>
      <c r="BA30" s="164"/>
      <c r="BC30" s="86" t="s">
        <v>106</v>
      </c>
      <c r="BD30" s="86" t="s">
        <v>263</v>
      </c>
      <c r="BE30" s="87" t="s">
        <v>264</v>
      </c>
      <c r="BF30" s="87">
        <v>387000650117</v>
      </c>
      <c r="BG30" s="86" t="s">
        <v>265</v>
      </c>
      <c r="BH30" s="86">
        <v>2222</v>
      </c>
      <c r="BI30" s="86" t="s">
        <v>266</v>
      </c>
      <c r="BJ30" s="86">
        <v>13312250</v>
      </c>
      <c r="BK30" s="86" t="s">
        <v>267</v>
      </c>
      <c r="BL30" s="86" t="s">
        <v>108</v>
      </c>
    </row>
    <row r="31" spans="1:64" s="106" customFormat="1" ht="14.25" customHeight="1" thickBot="1" x14ac:dyDescent="0.25">
      <c r="A31" s="89">
        <v>4.2000000000000003E-2</v>
      </c>
      <c r="B31" s="27">
        <f>VLOOKUP(F31,Planilha3!D:F,3,0)</f>
        <v>27.698971230513877</v>
      </c>
      <c r="C31" s="90">
        <f t="shared" si="35"/>
        <v>659.49931501223512</v>
      </c>
      <c r="D31" s="90" t="s">
        <v>76</v>
      </c>
      <c r="E31" s="90" t="s">
        <v>80</v>
      </c>
      <c r="F31" s="107">
        <v>904451</v>
      </c>
      <c r="G31" s="107">
        <v>1147973</v>
      </c>
      <c r="H31" s="92" t="s">
        <v>23</v>
      </c>
      <c r="I31" s="93">
        <v>12</v>
      </c>
      <c r="J31" s="93">
        <v>280</v>
      </c>
      <c r="K31" s="94">
        <f t="shared" si="54"/>
        <v>6720</v>
      </c>
      <c r="L31" s="125">
        <v>840</v>
      </c>
      <c r="M31" s="180">
        <f t="shared" si="1"/>
        <v>3</v>
      </c>
      <c r="N31" s="95">
        <f>M31/26</f>
        <v>0.11538461538461539</v>
      </c>
      <c r="O31" s="148">
        <v>57.73</v>
      </c>
      <c r="P31" s="135">
        <f t="shared" si="22"/>
        <v>4.8108333333333331</v>
      </c>
      <c r="Q31" s="108">
        <f t="shared" si="3"/>
        <v>3</v>
      </c>
      <c r="R31" s="108">
        <v>0.25</v>
      </c>
      <c r="S31" s="122">
        <f t="shared" si="4"/>
        <v>0.72</v>
      </c>
      <c r="T31" s="122">
        <v>0.06</v>
      </c>
      <c r="U31" s="121">
        <f t="shared" si="23"/>
        <v>0.31</v>
      </c>
      <c r="V31" s="36">
        <f>VLOOKUP(F31,'[1]Proposta HNK para Tenda'!$F:$T,15,0)</f>
        <v>6.09</v>
      </c>
      <c r="W31" s="36">
        <f>VLOOKUP(F31,'[1]Proposta HNK para Tenda'!$F:$U,16,0)</f>
        <v>5.3900000000000006</v>
      </c>
      <c r="X31" s="36"/>
      <c r="Y31" s="98">
        <f t="shared" si="5"/>
        <v>3124.7999999999997</v>
      </c>
      <c r="Z31" s="99">
        <f t="shared" si="6"/>
        <v>48493.2</v>
      </c>
      <c r="AA31" s="100">
        <f>L31*12*0.35/100</f>
        <v>35.28</v>
      </c>
      <c r="AB31" s="101"/>
      <c r="AC31" s="44">
        <f t="shared" si="7"/>
        <v>0.31429999999999997</v>
      </c>
      <c r="AD31" s="102">
        <f t="shared" si="8"/>
        <v>0.31</v>
      </c>
      <c r="AE31" s="102">
        <f t="shared" si="37"/>
        <v>4.2999999999999705E-3</v>
      </c>
      <c r="AG31" s="175">
        <v>89.8</v>
      </c>
      <c r="AH31" s="176">
        <f t="shared" si="9"/>
        <v>3168.1439999999998</v>
      </c>
      <c r="AI31" s="176">
        <f t="shared" si="10"/>
        <v>0.31429999999999997</v>
      </c>
      <c r="AJ31" s="103"/>
      <c r="AK31" s="103">
        <f t="shared" si="11"/>
        <v>0</v>
      </c>
      <c r="AL31" s="103">
        <f t="shared" si="12"/>
        <v>0</v>
      </c>
      <c r="AM31" s="7">
        <v>0</v>
      </c>
      <c r="AN31" s="138">
        <f t="shared" si="13"/>
        <v>0</v>
      </c>
      <c r="AO31" s="138">
        <f t="shared" si="14"/>
        <v>0</v>
      </c>
      <c r="AP31" s="103">
        <f t="shared" si="15"/>
        <v>3168.1439999999998</v>
      </c>
      <c r="AQ31" s="103">
        <f t="shared" si="16"/>
        <v>0.31429999999999997</v>
      </c>
      <c r="AR31" s="104">
        <f t="shared" si="17"/>
        <v>3124.7999999999997</v>
      </c>
      <c r="AS31" s="104">
        <f t="shared" si="38"/>
        <v>43.344000000000051</v>
      </c>
      <c r="AT31" s="103">
        <f t="shared" si="18"/>
        <v>4.8108333333333331</v>
      </c>
      <c r="AU31" s="104">
        <f t="shared" si="19"/>
        <v>4.5008333333333335</v>
      </c>
      <c r="AV31" s="105">
        <f t="shared" si="20"/>
        <v>0.1649659863945579</v>
      </c>
      <c r="AX31" s="150">
        <f t="shared" si="39"/>
        <v>5.3900000000000006</v>
      </c>
      <c r="AY31" s="151">
        <f t="shared" si="28"/>
        <v>0</v>
      </c>
      <c r="AZ31" s="160">
        <f t="shared" si="26"/>
        <v>5.3900000000000006</v>
      </c>
      <c r="BA31" s="164"/>
      <c r="BC31" s="86" t="s">
        <v>106</v>
      </c>
      <c r="BD31" s="86" t="s">
        <v>263</v>
      </c>
      <c r="BE31" s="87" t="s">
        <v>264</v>
      </c>
      <c r="BF31" s="87">
        <v>387000650117</v>
      </c>
      <c r="BG31" s="86" t="s">
        <v>265</v>
      </c>
      <c r="BH31" s="86">
        <v>2222</v>
      </c>
      <c r="BI31" s="86" t="s">
        <v>266</v>
      </c>
      <c r="BJ31" s="86">
        <v>13312250</v>
      </c>
      <c r="BK31" s="86" t="s">
        <v>267</v>
      </c>
      <c r="BL31" s="86" t="s">
        <v>108</v>
      </c>
    </row>
    <row r="32" spans="1:64" s="106" customFormat="1" ht="14.25" customHeight="1" thickBot="1" x14ac:dyDescent="0.25">
      <c r="A32" s="89">
        <v>7.1999999999999995E-2</v>
      </c>
      <c r="B32" s="27">
        <f>VLOOKUP(F32,Planilha3!D:F,3,0)</f>
        <v>2.9586870052133625</v>
      </c>
      <c r="C32" s="90">
        <f t="shared" si="35"/>
        <v>41.092875072407814</v>
      </c>
      <c r="D32" s="90" t="s">
        <v>76</v>
      </c>
      <c r="E32" s="90" t="s">
        <v>80</v>
      </c>
      <c r="F32" s="91">
        <v>904742</v>
      </c>
      <c r="G32" s="91">
        <v>1169732</v>
      </c>
      <c r="H32" s="92" t="s">
        <v>56</v>
      </c>
      <c r="I32" s="93">
        <v>12</v>
      </c>
      <c r="J32" s="93">
        <v>60</v>
      </c>
      <c r="K32" s="94">
        <f t="shared" si="54"/>
        <v>1440</v>
      </c>
      <c r="L32" s="125">
        <f t="shared" ref="L32" si="55">J32*5</f>
        <v>300</v>
      </c>
      <c r="M32" s="180">
        <f t="shared" si="1"/>
        <v>5</v>
      </c>
      <c r="N32" s="95">
        <f t="shared" ref="N32:N56" si="56">L32/K32</f>
        <v>0.20833333333333334</v>
      </c>
      <c r="O32" s="148">
        <v>134.52000000000001</v>
      </c>
      <c r="P32" s="135">
        <f t="shared" si="22"/>
        <v>11.21</v>
      </c>
      <c r="Q32" s="96">
        <f t="shared" si="3"/>
        <v>0</v>
      </c>
      <c r="R32" s="96">
        <v>0</v>
      </c>
      <c r="S32" s="97">
        <f t="shared" si="4"/>
        <v>0</v>
      </c>
      <c r="T32" s="97">
        <v>0</v>
      </c>
      <c r="U32" s="121">
        <f t="shared" si="23"/>
        <v>0</v>
      </c>
      <c r="V32" s="36">
        <f>VLOOKUP(F32,'[1]Proposta HNK para Tenda'!$F:$T,15,0)</f>
        <v>14.19</v>
      </c>
      <c r="W32" s="36">
        <f>VLOOKUP(F32,'[1]Proposta HNK para Tenda'!$F:$U,16,0)</f>
        <v>14.19</v>
      </c>
      <c r="X32" s="36"/>
      <c r="Y32" s="98">
        <f t="shared" si="5"/>
        <v>0</v>
      </c>
      <c r="Z32" s="99">
        <f t="shared" si="6"/>
        <v>40356</v>
      </c>
      <c r="AA32" s="100">
        <f>L32*12*0.6/100</f>
        <v>21.6</v>
      </c>
      <c r="AB32" s="101"/>
      <c r="AC32" s="44">
        <f t="shared" si="7"/>
        <v>0</v>
      </c>
      <c r="AD32" s="102">
        <f t="shared" si="8"/>
        <v>0</v>
      </c>
      <c r="AE32" s="102">
        <f t="shared" si="37"/>
        <v>0</v>
      </c>
      <c r="AG32" s="137">
        <v>0</v>
      </c>
      <c r="AH32" s="138">
        <f t="shared" si="9"/>
        <v>0</v>
      </c>
      <c r="AI32" s="138">
        <f t="shared" si="10"/>
        <v>0</v>
      </c>
      <c r="AJ32" s="103"/>
      <c r="AK32" s="103">
        <f t="shared" si="11"/>
        <v>0</v>
      </c>
      <c r="AL32" s="103">
        <f t="shared" si="12"/>
        <v>0</v>
      </c>
      <c r="AM32" s="7">
        <v>0</v>
      </c>
      <c r="AN32" s="138">
        <f t="shared" si="13"/>
        <v>0</v>
      </c>
      <c r="AO32" s="138">
        <f t="shared" si="14"/>
        <v>0</v>
      </c>
      <c r="AP32" s="103">
        <f t="shared" si="15"/>
        <v>0</v>
      </c>
      <c r="AQ32" s="103">
        <f t="shared" si="16"/>
        <v>0</v>
      </c>
      <c r="AR32" s="104">
        <f t="shared" si="17"/>
        <v>0</v>
      </c>
      <c r="AS32" s="104">
        <f t="shared" si="38"/>
        <v>0</v>
      </c>
      <c r="AT32" s="103">
        <f t="shared" si="18"/>
        <v>11.21</v>
      </c>
      <c r="AU32" s="104">
        <f t="shared" si="19"/>
        <v>11.21</v>
      </c>
      <c r="AV32" s="105">
        <f t="shared" si="20"/>
        <v>0.21000704721634944</v>
      </c>
      <c r="AX32" s="150">
        <f t="shared" si="39"/>
        <v>14.19</v>
      </c>
      <c r="AY32" s="151">
        <f t="shared" si="28"/>
        <v>0</v>
      </c>
      <c r="AZ32" s="160">
        <f t="shared" si="26"/>
        <v>14.19</v>
      </c>
      <c r="BA32" s="164"/>
      <c r="BC32" s="86" t="s">
        <v>106</v>
      </c>
      <c r="BD32" s="86" t="s">
        <v>263</v>
      </c>
      <c r="BE32" s="87" t="s">
        <v>264</v>
      </c>
      <c r="BF32" s="87">
        <v>387000650117</v>
      </c>
      <c r="BG32" s="86" t="s">
        <v>265</v>
      </c>
      <c r="BH32" s="86">
        <v>2222</v>
      </c>
      <c r="BI32" s="86" t="s">
        <v>266</v>
      </c>
      <c r="BJ32" s="86">
        <v>13312250</v>
      </c>
      <c r="BK32" s="86" t="s">
        <v>267</v>
      </c>
      <c r="BL32" s="86" t="s">
        <v>108</v>
      </c>
    </row>
    <row r="33" spans="1:64" s="106" customFormat="1" ht="14.25" customHeight="1" thickBot="1" x14ac:dyDescent="0.25">
      <c r="A33" s="89">
        <v>4.2000000000000003E-2</v>
      </c>
      <c r="B33" s="27">
        <f>VLOOKUP(F33,Planilha3!D:F,3,0)</f>
        <v>12.8718384739042</v>
      </c>
      <c r="C33" s="90">
        <f t="shared" si="35"/>
        <v>306.47234461676663</v>
      </c>
      <c r="D33" s="90" t="s">
        <v>76</v>
      </c>
      <c r="E33" s="90" t="s">
        <v>80</v>
      </c>
      <c r="F33" s="107">
        <v>904743</v>
      </c>
      <c r="G33" s="107">
        <v>1170232</v>
      </c>
      <c r="H33" s="92" t="s">
        <v>22</v>
      </c>
      <c r="I33" s="93">
        <v>12</v>
      </c>
      <c r="J33" s="93">
        <v>280</v>
      </c>
      <c r="K33" s="94">
        <f t="shared" si="54"/>
        <v>6720</v>
      </c>
      <c r="L33" s="170">
        <v>560</v>
      </c>
      <c r="M33" s="180">
        <f t="shared" si="1"/>
        <v>2</v>
      </c>
      <c r="N33" s="95">
        <f t="shared" si="56"/>
        <v>8.3333333333333329E-2</v>
      </c>
      <c r="O33" s="148">
        <v>57.73</v>
      </c>
      <c r="P33" s="135">
        <f t="shared" si="22"/>
        <v>4.8108333333333331</v>
      </c>
      <c r="Q33" s="108">
        <f t="shared" si="3"/>
        <v>3</v>
      </c>
      <c r="R33" s="108">
        <v>0.25</v>
      </c>
      <c r="S33" s="122">
        <f t="shared" si="4"/>
        <v>0.72</v>
      </c>
      <c r="T33" s="122">
        <v>0.06</v>
      </c>
      <c r="U33" s="121">
        <f t="shared" si="23"/>
        <v>0.31</v>
      </c>
      <c r="V33" s="36">
        <f>VLOOKUP(F33,'[1]Proposta HNK para Tenda'!$F:$T,15,0)</f>
        <v>6.09</v>
      </c>
      <c r="W33" s="36">
        <f>VLOOKUP(F33,'[1]Proposta HNK para Tenda'!$F:$U,16,0)</f>
        <v>5.3900000000000006</v>
      </c>
      <c r="X33" s="36"/>
      <c r="Y33" s="98">
        <f t="shared" si="5"/>
        <v>2083.1999999999998</v>
      </c>
      <c r="Z33" s="99">
        <f t="shared" si="6"/>
        <v>32328.799999999999</v>
      </c>
      <c r="AA33" s="100">
        <f>L33*12*0.35/100</f>
        <v>23.52</v>
      </c>
      <c r="AB33" s="101"/>
      <c r="AC33" s="44">
        <f t="shared" si="7"/>
        <v>0.31429999999999997</v>
      </c>
      <c r="AD33" s="102">
        <f t="shared" si="8"/>
        <v>0.31</v>
      </c>
      <c r="AE33" s="102">
        <f t="shared" si="37"/>
        <v>4.2999999999999705E-3</v>
      </c>
      <c r="AG33" s="175">
        <v>89.8</v>
      </c>
      <c r="AH33" s="176">
        <f t="shared" si="9"/>
        <v>2112.096</v>
      </c>
      <c r="AI33" s="176">
        <f t="shared" si="10"/>
        <v>0.31429999999999997</v>
      </c>
      <c r="AJ33" s="103"/>
      <c r="AK33" s="103">
        <f t="shared" si="11"/>
        <v>0</v>
      </c>
      <c r="AL33" s="103">
        <f t="shared" si="12"/>
        <v>0</v>
      </c>
      <c r="AM33" s="7">
        <v>0</v>
      </c>
      <c r="AN33" s="138">
        <f t="shared" si="13"/>
        <v>0</v>
      </c>
      <c r="AO33" s="138">
        <f t="shared" si="14"/>
        <v>0</v>
      </c>
      <c r="AP33" s="103">
        <f t="shared" si="15"/>
        <v>2112.096</v>
      </c>
      <c r="AQ33" s="103">
        <f t="shared" si="16"/>
        <v>0.31429999999999997</v>
      </c>
      <c r="AR33" s="104">
        <f t="shared" si="17"/>
        <v>2083.1999999999998</v>
      </c>
      <c r="AS33" s="104">
        <f t="shared" si="38"/>
        <v>28.896000000000186</v>
      </c>
      <c r="AT33" s="103">
        <f t="shared" si="18"/>
        <v>4.8108333333333331</v>
      </c>
      <c r="AU33" s="104">
        <f t="shared" si="19"/>
        <v>4.5008333333333335</v>
      </c>
      <c r="AV33" s="105">
        <f t="shared" si="20"/>
        <v>0.1649659863945579</v>
      </c>
      <c r="AX33" s="150">
        <f t="shared" si="39"/>
        <v>5.3900000000000006</v>
      </c>
      <c r="AY33" s="151">
        <f t="shared" si="28"/>
        <v>0</v>
      </c>
      <c r="AZ33" s="160">
        <f t="shared" si="26"/>
        <v>5.3900000000000006</v>
      </c>
      <c r="BA33" s="164"/>
      <c r="BC33" s="86" t="s">
        <v>106</v>
      </c>
      <c r="BD33" s="86" t="s">
        <v>263</v>
      </c>
      <c r="BE33" s="87" t="s">
        <v>264</v>
      </c>
      <c r="BF33" s="87">
        <v>387000650117</v>
      </c>
      <c r="BG33" s="86" t="s">
        <v>265</v>
      </c>
      <c r="BH33" s="86">
        <v>2222</v>
      </c>
      <c r="BI33" s="86" t="s">
        <v>266</v>
      </c>
      <c r="BJ33" s="86">
        <v>13312250</v>
      </c>
      <c r="BK33" s="86" t="s">
        <v>267</v>
      </c>
      <c r="BL33" s="86" t="s">
        <v>108</v>
      </c>
    </row>
    <row r="34" spans="1:64" s="106" customFormat="1" ht="14.25" customHeight="1" thickBot="1" x14ac:dyDescent="0.25">
      <c r="A34" s="89">
        <v>7.1999999999999995E-2</v>
      </c>
      <c r="B34" s="27">
        <f>VLOOKUP(F34,Planilha3!D:F,3,0)</f>
        <v>5.1478174848522329</v>
      </c>
      <c r="C34" s="90">
        <f t="shared" si="35"/>
        <v>71.497465067392127</v>
      </c>
      <c r="D34" s="90" t="s">
        <v>76</v>
      </c>
      <c r="E34" s="90" t="s">
        <v>80</v>
      </c>
      <c r="F34" s="91">
        <v>900109</v>
      </c>
      <c r="G34" s="91">
        <v>1017027</v>
      </c>
      <c r="H34" s="92" t="s">
        <v>27</v>
      </c>
      <c r="I34" s="93">
        <v>12</v>
      </c>
      <c r="J34" s="93">
        <v>60</v>
      </c>
      <c r="K34" s="94">
        <f t="shared" si="54"/>
        <v>1440</v>
      </c>
      <c r="L34" s="170">
        <v>160</v>
      </c>
      <c r="M34" s="180">
        <f t="shared" si="1"/>
        <v>2.6666666666666665</v>
      </c>
      <c r="N34" s="95">
        <f t="shared" si="56"/>
        <v>0.1111111111111111</v>
      </c>
      <c r="O34" s="148">
        <v>134.52000000000001</v>
      </c>
      <c r="P34" s="135">
        <f t="shared" si="22"/>
        <v>11.21</v>
      </c>
      <c r="Q34" s="96">
        <f t="shared" si="3"/>
        <v>0</v>
      </c>
      <c r="R34" s="96">
        <v>0</v>
      </c>
      <c r="S34" s="97">
        <f t="shared" si="4"/>
        <v>0</v>
      </c>
      <c r="T34" s="97">
        <v>0</v>
      </c>
      <c r="U34" s="121">
        <f t="shared" si="23"/>
        <v>0</v>
      </c>
      <c r="V34" s="36">
        <f>VLOOKUP(F34,'[1]Proposta HNK para Tenda'!$F:$T,15,0)</f>
        <v>14.19</v>
      </c>
      <c r="W34" s="36">
        <f>VLOOKUP(F34,'[1]Proposta HNK para Tenda'!$F:$U,16,0)</f>
        <v>14.19</v>
      </c>
      <c r="X34" s="36"/>
      <c r="Y34" s="98">
        <f t="shared" si="5"/>
        <v>0</v>
      </c>
      <c r="Z34" s="99">
        <f t="shared" si="6"/>
        <v>21523.200000000001</v>
      </c>
      <c r="AA34" s="100">
        <f>L34*12*0.6/100</f>
        <v>11.52</v>
      </c>
      <c r="AB34" s="101"/>
      <c r="AC34" s="44">
        <f t="shared" si="7"/>
        <v>0</v>
      </c>
      <c r="AD34" s="102">
        <f t="shared" si="8"/>
        <v>0</v>
      </c>
      <c r="AE34" s="102">
        <f t="shared" si="37"/>
        <v>0</v>
      </c>
      <c r="AG34" s="137">
        <v>0</v>
      </c>
      <c r="AH34" s="138">
        <f t="shared" si="9"/>
        <v>0</v>
      </c>
      <c r="AI34" s="138">
        <f t="shared" si="10"/>
        <v>0</v>
      </c>
      <c r="AJ34" s="103"/>
      <c r="AK34" s="103">
        <f t="shared" si="11"/>
        <v>0</v>
      </c>
      <c r="AL34" s="103">
        <f t="shared" si="12"/>
        <v>0</v>
      </c>
      <c r="AM34" s="7">
        <v>0</v>
      </c>
      <c r="AN34" s="138">
        <f t="shared" si="13"/>
        <v>0</v>
      </c>
      <c r="AO34" s="138">
        <f t="shared" si="14"/>
        <v>0</v>
      </c>
      <c r="AP34" s="103">
        <f t="shared" si="15"/>
        <v>0</v>
      </c>
      <c r="AQ34" s="103">
        <f t="shared" si="16"/>
        <v>0</v>
      </c>
      <c r="AR34" s="104">
        <f t="shared" si="17"/>
        <v>0</v>
      </c>
      <c r="AS34" s="104">
        <f t="shared" si="38"/>
        <v>0</v>
      </c>
      <c r="AT34" s="103">
        <f t="shared" si="18"/>
        <v>11.21</v>
      </c>
      <c r="AU34" s="104">
        <f t="shared" si="19"/>
        <v>11.21</v>
      </c>
      <c r="AV34" s="105">
        <f t="shared" si="20"/>
        <v>0.21000704721634944</v>
      </c>
      <c r="AX34" s="150">
        <f t="shared" si="39"/>
        <v>14.19</v>
      </c>
      <c r="AY34" s="151">
        <f t="shared" si="28"/>
        <v>0</v>
      </c>
      <c r="AZ34" s="160">
        <f t="shared" si="26"/>
        <v>14.19</v>
      </c>
      <c r="BA34" s="164"/>
      <c r="BC34" s="86" t="s">
        <v>106</v>
      </c>
      <c r="BD34" s="86" t="s">
        <v>263</v>
      </c>
      <c r="BE34" s="87" t="s">
        <v>264</v>
      </c>
      <c r="BF34" s="87">
        <v>387000650117</v>
      </c>
      <c r="BG34" s="86" t="s">
        <v>265</v>
      </c>
      <c r="BH34" s="86">
        <v>2222</v>
      </c>
      <c r="BI34" s="86" t="s">
        <v>266</v>
      </c>
      <c r="BJ34" s="86">
        <v>13312250</v>
      </c>
      <c r="BK34" s="86" t="s">
        <v>267</v>
      </c>
      <c r="BL34" s="86" t="s">
        <v>108</v>
      </c>
    </row>
    <row r="35" spans="1:64" s="106" customFormat="1" ht="14.25" customHeight="1" thickBot="1" x14ac:dyDescent="0.25">
      <c r="A35" s="89">
        <v>4.2000000000000003E-2</v>
      </c>
      <c r="B35" s="27">
        <f>VLOOKUP(F35,Planilha3!D:F,3,0)</f>
        <v>8.3101108017361387</v>
      </c>
      <c r="C35" s="90">
        <f t="shared" si="35"/>
        <v>197.85978099371758</v>
      </c>
      <c r="D35" s="90" t="s">
        <v>76</v>
      </c>
      <c r="E35" s="90" t="s">
        <v>80</v>
      </c>
      <c r="F35" s="93">
        <v>904441</v>
      </c>
      <c r="G35" s="93">
        <v>1147975</v>
      </c>
      <c r="H35" s="92" t="s">
        <v>24</v>
      </c>
      <c r="I35" s="93">
        <v>12</v>
      </c>
      <c r="J35" s="93">
        <v>280</v>
      </c>
      <c r="K35" s="94">
        <f t="shared" si="54"/>
        <v>6720</v>
      </c>
      <c r="L35" s="125">
        <v>560</v>
      </c>
      <c r="M35" s="180">
        <f t="shared" si="1"/>
        <v>2</v>
      </c>
      <c r="N35" s="95">
        <f t="shared" si="56"/>
        <v>8.3333333333333329E-2</v>
      </c>
      <c r="O35" s="148">
        <v>57.73</v>
      </c>
      <c r="P35" s="135">
        <f t="shared" si="22"/>
        <v>4.8108333333333331</v>
      </c>
      <c r="Q35" s="108">
        <f t="shared" si="3"/>
        <v>3</v>
      </c>
      <c r="R35" s="108">
        <v>0.25</v>
      </c>
      <c r="S35" s="122">
        <f t="shared" si="4"/>
        <v>0.72</v>
      </c>
      <c r="T35" s="122">
        <v>0.06</v>
      </c>
      <c r="U35" s="121">
        <f t="shared" si="23"/>
        <v>0.31</v>
      </c>
      <c r="V35" s="36">
        <f>VLOOKUP(F35,'[1]Proposta HNK para Tenda'!$F:$T,15,0)</f>
        <v>6.09</v>
      </c>
      <c r="W35" s="36">
        <f>VLOOKUP(F35,'[1]Proposta HNK para Tenda'!$F:$U,16,0)</f>
        <v>5.3900000000000006</v>
      </c>
      <c r="X35" s="36"/>
      <c r="Y35" s="98">
        <f t="shared" si="5"/>
        <v>2083.1999999999998</v>
      </c>
      <c r="Z35" s="99">
        <f t="shared" si="6"/>
        <v>32328.799999999999</v>
      </c>
      <c r="AA35" s="100">
        <f>L35*12*0.35/100</f>
        <v>23.52</v>
      </c>
      <c r="AB35" s="101"/>
      <c r="AC35" s="44">
        <f t="shared" si="7"/>
        <v>0.31429999999999997</v>
      </c>
      <c r="AD35" s="102">
        <f t="shared" si="8"/>
        <v>0.31</v>
      </c>
      <c r="AE35" s="102">
        <f t="shared" si="37"/>
        <v>4.2999999999999705E-3</v>
      </c>
      <c r="AG35" s="175">
        <v>89.8</v>
      </c>
      <c r="AH35" s="176">
        <f t="shared" si="9"/>
        <v>2112.096</v>
      </c>
      <c r="AI35" s="176">
        <f t="shared" si="10"/>
        <v>0.31429999999999997</v>
      </c>
      <c r="AJ35" s="103"/>
      <c r="AK35" s="103">
        <f t="shared" si="11"/>
        <v>0</v>
      </c>
      <c r="AL35" s="103">
        <f t="shared" si="12"/>
        <v>0</v>
      </c>
      <c r="AM35" s="7">
        <v>0</v>
      </c>
      <c r="AN35" s="138">
        <f t="shared" si="13"/>
        <v>0</v>
      </c>
      <c r="AO35" s="138">
        <f t="shared" si="14"/>
        <v>0</v>
      </c>
      <c r="AP35" s="103">
        <f t="shared" si="15"/>
        <v>2112.096</v>
      </c>
      <c r="AQ35" s="103">
        <f t="shared" si="16"/>
        <v>0.31429999999999997</v>
      </c>
      <c r="AR35" s="104">
        <f t="shared" si="17"/>
        <v>2083.1999999999998</v>
      </c>
      <c r="AS35" s="104">
        <f t="shared" si="38"/>
        <v>28.896000000000186</v>
      </c>
      <c r="AT35" s="103">
        <f t="shared" si="18"/>
        <v>4.8108333333333331</v>
      </c>
      <c r="AU35" s="104">
        <f t="shared" si="19"/>
        <v>4.5008333333333335</v>
      </c>
      <c r="AV35" s="105">
        <f t="shared" si="20"/>
        <v>0.1649659863945579</v>
      </c>
      <c r="AX35" s="150">
        <f t="shared" si="39"/>
        <v>5.3900000000000006</v>
      </c>
      <c r="AY35" s="151">
        <f t="shared" si="28"/>
        <v>0</v>
      </c>
      <c r="AZ35" s="160">
        <f t="shared" si="26"/>
        <v>5.3900000000000006</v>
      </c>
      <c r="BA35" s="164"/>
      <c r="BC35" s="86" t="s">
        <v>106</v>
      </c>
      <c r="BD35" s="86" t="s">
        <v>263</v>
      </c>
      <c r="BE35" s="87" t="s">
        <v>264</v>
      </c>
      <c r="BF35" s="87">
        <v>387000650117</v>
      </c>
      <c r="BG35" s="86" t="s">
        <v>265</v>
      </c>
      <c r="BH35" s="86">
        <v>2222</v>
      </c>
      <c r="BI35" s="86" t="s">
        <v>266</v>
      </c>
      <c r="BJ35" s="86">
        <v>13312250</v>
      </c>
      <c r="BK35" s="86" t="s">
        <v>267</v>
      </c>
      <c r="BL35" s="86" t="s">
        <v>108</v>
      </c>
    </row>
    <row r="36" spans="1:64" s="106" customFormat="1" ht="14.25" customHeight="1" thickBot="1" x14ac:dyDescent="0.25">
      <c r="A36" s="89">
        <v>7.1999999999999995E-2</v>
      </c>
      <c r="B36" s="27">
        <f>VLOOKUP(F36,Planilha3!D:F,3,0)</f>
        <v>6.1719832816502631</v>
      </c>
      <c r="C36" s="90">
        <f t="shared" si="35"/>
        <v>85.721990022920323</v>
      </c>
      <c r="D36" s="90" t="s">
        <v>76</v>
      </c>
      <c r="E36" s="90" t="s">
        <v>80</v>
      </c>
      <c r="F36" s="93">
        <v>901162</v>
      </c>
      <c r="G36" s="93">
        <v>1046689</v>
      </c>
      <c r="H36" s="92" t="s">
        <v>25</v>
      </c>
      <c r="I36" s="93">
        <v>12</v>
      </c>
      <c r="J36" s="93">
        <v>60</v>
      </c>
      <c r="K36" s="94">
        <f t="shared" si="54"/>
        <v>1440</v>
      </c>
      <c r="L36" s="170">
        <v>160</v>
      </c>
      <c r="M36" s="180">
        <f t="shared" si="1"/>
        <v>2.6666666666666665</v>
      </c>
      <c r="N36" s="95">
        <f t="shared" si="56"/>
        <v>0.1111111111111111</v>
      </c>
      <c r="O36" s="148">
        <v>134.52000000000001</v>
      </c>
      <c r="P36" s="135">
        <f t="shared" si="22"/>
        <v>11.21</v>
      </c>
      <c r="Q36" s="96">
        <f t="shared" si="3"/>
        <v>0</v>
      </c>
      <c r="R36" s="96">
        <v>0</v>
      </c>
      <c r="S36" s="97">
        <f t="shared" si="4"/>
        <v>0</v>
      </c>
      <c r="T36" s="97">
        <v>0</v>
      </c>
      <c r="U36" s="121">
        <f t="shared" si="23"/>
        <v>0</v>
      </c>
      <c r="V36" s="36">
        <f>VLOOKUP(F36,'[1]Proposta HNK para Tenda'!$F:$T,15,0)</f>
        <v>14.19</v>
      </c>
      <c r="W36" s="36">
        <f>VLOOKUP(F36,'[1]Proposta HNK para Tenda'!$F:$U,16,0)</f>
        <v>14.19</v>
      </c>
      <c r="X36" s="36"/>
      <c r="Y36" s="98">
        <f t="shared" si="5"/>
        <v>0</v>
      </c>
      <c r="Z36" s="99">
        <f t="shared" si="6"/>
        <v>21523.200000000001</v>
      </c>
      <c r="AA36" s="100">
        <f>L36*12*0.6/100</f>
        <v>11.52</v>
      </c>
      <c r="AB36" s="101"/>
      <c r="AC36" s="44">
        <f t="shared" si="7"/>
        <v>0</v>
      </c>
      <c r="AD36" s="102">
        <f t="shared" si="8"/>
        <v>0</v>
      </c>
      <c r="AE36" s="102">
        <f t="shared" si="37"/>
        <v>0</v>
      </c>
      <c r="AG36" s="137">
        <v>0</v>
      </c>
      <c r="AH36" s="138">
        <f t="shared" si="9"/>
        <v>0</v>
      </c>
      <c r="AI36" s="138">
        <f t="shared" si="10"/>
        <v>0</v>
      </c>
      <c r="AJ36" s="103"/>
      <c r="AK36" s="103">
        <f t="shared" si="11"/>
        <v>0</v>
      </c>
      <c r="AL36" s="103">
        <f t="shared" si="12"/>
        <v>0</v>
      </c>
      <c r="AM36" s="7">
        <v>0</v>
      </c>
      <c r="AN36" s="138">
        <f t="shared" si="13"/>
        <v>0</v>
      </c>
      <c r="AO36" s="138">
        <f t="shared" si="14"/>
        <v>0</v>
      </c>
      <c r="AP36" s="103">
        <f t="shared" si="15"/>
        <v>0</v>
      </c>
      <c r="AQ36" s="103">
        <f t="shared" si="16"/>
        <v>0</v>
      </c>
      <c r="AR36" s="104">
        <f t="shared" si="17"/>
        <v>0</v>
      </c>
      <c r="AS36" s="104">
        <f t="shared" si="38"/>
        <v>0</v>
      </c>
      <c r="AT36" s="103">
        <f t="shared" si="18"/>
        <v>11.21</v>
      </c>
      <c r="AU36" s="104">
        <f t="shared" si="19"/>
        <v>11.21</v>
      </c>
      <c r="AV36" s="105">
        <f t="shared" si="20"/>
        <v>0.21000704721634944</v>
      </c>
      <c r="AX36" s="150">
        <f t="shared" si="39"/>
        <v>14.19</v>
      </c>
      <c r="AY36" s="151">
        <f t="shared" si="28"/>
        <v>0</v>
      </c>
      <c r="AZ36" s="160">
        <f t="shared" si="26"/>
        <v>14.19</v>
      </c>
      <c r="BA36" s="164"/>
      <c r="BC36" s="86" t="s">
        <v>106</v>
      </c>
      <c r="BD36" s="86" t="s">
        <v>263</v>
      </c>
      <c r="BE36" s="87" t="s">
        <v>264</v>
      </c>
      <c r="BF36" s="87">
        <v>387000650117</v>
      </c>
      <c r="BG36" s="86" t="s">
        <v>265</v>
      </c>
      <c r="BH36" s="86">
        <v>2222</v>
      </c>
      <c r="BI36" s="86" t="s">
        <v>266</v>
      </c>
      <c r="BJ36" s="86">
        <v>13312250</v>
      </c>
      <c r="BK36" s="86" t="s">
        <v>267</v>
      </c>
      <c r="BL36" s="86" t="s">
        <v>108</v>
      </c>
    </row>
    <row r="37" spans="1:64" s="106" customFormat="1" ht="14.25" customHeight="1" thickBot="1" x14ac:dyDescent="0.25">
      <c r="A37" s="89">
        <v>4.2000000000000003E-2</v>
      </c>
      <c r="B37" s="27">
        <f>VLOOKUP(F37,Planilha3!D:F,3,0)</f>
        <v>21.928825538868569</v>
      </c>
      <c r="C37" s="90">
        <f t="shared" si="35"/>
        <v>522.114893782585</v>
      </c>
      <c r="D37" s="90" t="s">
        <v>76</v>
      </c>
      <c r="E37" s="90" t="s">
        <v>80</v>
      </c>
      <c r="F37" s="107">
        <v>904193</v>
      </c>
      <c r="G37" s="107">
        <v>1150647</v>
      </c>
      <c r="H37" s="92" t="s">
        <v>21</v>
      </c>
      <c r="I37" s="93">
        <v>12</v>
      </c>
      <c r="J37" s="93">
        <v>280</v>
      </c>
      <c r="K37" s="94">
        <f t="shared" si="54"/>
        <v>6720</v>
      </c>
      <c r="L37" s="125">
        <v>560</v>
      </c>
      <c r="M37" s="180">
        <f t="shared" si="1"/>
        <v>2</v>
      </c>
      <c r="N37" s="95">
        <f t="shared" si="56"/>
        <v>8.3333333333333329E-2</v>
      </c>
      <c r="O37" s="148">
        <v>57.73</v>
      </c>
      <c r="P37" s="135">
        <f t="shared" si="22"/>
        <v>4.8108333333333331</v>
      </c>
      <c r="Q37" s="108">
        <f t="shared" si="3"/>
        <v>3</v>
      </c>
      <c r="R37" s="108">
        <v>0.25</v>
      </c>
      <c r="S37" s="122">
        <f t="shared" si="4"/>
        <v>0.72</v>
      </c>
      <c r="T37" s="122">
        <v>0.06</v>
      </c>
      <c r="U37" s="121">
        <f t="shared" si="23"/>
        <v>0.31</v>
      </c>
      <c r="V37" s="36">
        <f>VLOOKUP(F37,'[1]Proposta HNK para Tenda'!$F:$T,15,0)</f>
        <v>6.09</v>
      </c>
      <c r="W37" s="36">
        <f>VLOOKUP(F37,'[1]Proposta HNK para Tenda'!$F:$U,16,0)</f>
        <v>5.3900000000000006</v>
      </c>
      <c r="X37" s="36"/>
      <c r="Y37" s="98">
        <f t="shared" si="5"/>
        <v>2083.1999999999998</v>
      </c>
      <c r="Z37" s="99">
        <f t="shared" si="6"/>
        <v>32328.799999999999</v>
      </c>
      <c r="AA37" s="100">
        <f>L37*12*0.35/100</f>
        <v>23.52</v>
      </c>
      <c r="AB37" s="101"/>
      <c r="AC37" s="44">
        <f t="shared" si="7"/>
        <v>0.31429999999999997</v>
      </c>
      <c r="AD37" s="102">
        <f t="shared" si="8"/>
        <v>0.31</v>
      </c>
      <c r="AE37" s="102">
        <f t="shared" si="37"/>
        <v>4.2999999999999705E-3</v>
      </c>
      <c r="AG37" s="175">
        <v>89.8</v>
      </c>
      <c r="AH37" s="176">
        <f t="shared" ref="AH37:AH57" si="57">AG37*AA37</f>
        <v>2112.096</v>
      </c>
      <c r="AI37" s="176">
        <f t="shared" ref="AI37:AI57" si="58">AH37/L37/I37</f>
        <v>0.31429999999999997</v>
      </c>
      <c r="AJ37" s="103"/>
      <c r="AK37" s="103">
        <f t="shared" ref="AK37:AK57" si="59">AJ37*AA37</f>
        <v>0</v>
      </c>
      <c r="AL37" s="103">
        <f t="shared" ref="AL37:AL57" si="60">AK37/L37/I37</f>
        <v>0</v>
      </c>
      <c r="AM37" s="7">
        <v>0</v>
      </c>
      <c r="AN37" s="138">
        <f t="shared" ref="AN37:AN57" si="61">AM37*AA37</f>
        <v>0</v>
      </c>
      <c r="AO37" s="138">
        <f t="shared" ref="AO37:AO57" si="62">AN37/L37/I37</f>
        <v>0</v>
      </c>
      <c r="AP37" s="103">
        <f t="shared" si="15"/>
        <v>2112.096</v>
      </c>
      <c r="AQ37" s="103">
        <f t="shared" si="16"/>
        <v>0.31429999999999997</v>
      </c>
      <c r="AR37" s="104">
        <f t="shared" ref="AR37:AR57" si="63">Y37</f>
        <v>2083.1999999999998</v>
      </c>
      <c r="AS37" s="104">
        <f t="shared" si="38"/>
        <v>28.896000000000186</v>
      </c>
      <c r="AT37" s="103">
        <f t="shared" ref="AT37:AT57" si="64">O37/I37</f>
        <v>4.8108333333333331</v>
      </c>
      <c r="AU37" s="104">
        <f t="shared" ref="AU37:AU57" si="65">AT37-R37-T37</f>
        <v>4.5008333333333335</v>
      </c>
      <c r="AV37" s="105">
        <f t="shared" ref="AV37:AV57" si="66">(W37-AU37)/W37</f>
        <v>0.1649659863945579</v>
      </c>
      <c r="AX37" s="150">
        <f t="shared" si="39"/>
        <v>5.3900000000000006</v>
      </c>
      <c r="AY37" s="151">
        <f t="shared" si="28"/>
        <v>0</v>
      </c>
      <c r="AZ37" s="160">
        <f t="shared" si="26"/>
        <v>5.3900000000000006</v>
      </c>
      <c r="BA37" s="164"/>
      <c r="BC37" s="86" t="s">
        <v>106</v>
      </c>
      <c r="BD37" s="86" t="s">
        <v>263</v>
      </c>
      <c r="BE37" s="87" t="s">
        <v>264</v>
      </c>
      <c r="BF37" s="87">
        <v>387000650117</v>
      </c>
      <c r="BG37" s="86" t="s">
        <v>265</v>
      </c>
      <c r="BH37" s="86">
        <v>2222</v>
      </c>
      <c r="BI37" s="86" t="s">
        <v>266</v>
      </c>
      <c r="BJ37" s="86">
        <v>13312250</v>
      </c>
      <c r="BK37" s="86" t="s">
        <v>267</v>
      </c>
      <c r="BL37" s="86" t="s">
        <v>108</v>
      </c>
    </row>
    <row r="38" spans="1:64" s="106" customFormat="1" ht="14.25" customHeight="1" thickBot="1" x14ac:dyDescent="0.25">
      <c r="A38" s="89">
        <v>4.2000000000000003E-2</v>
      </c>
      <c r="B38" s="27">
        <f>VLOOKUP(F38,Planilha3!D:F,3,0)</f>
        <v>12.387493325971475</v>
      </c>
      <c r="C38" s="90">
        <f t="shared" si="35"/>
        <v>294.94031728503512</v>
      </c>
      <c r="D38" s="90" t="s">
        <v>76</v>
      </c>
      <c r="E38" s="90" t="s">
        <v>81</v>
      </c>
      <c r="F38" s="107">
        <v>904612</v>
      </c>
      <c r="G38" s="107">
        <v>1155188</v>
      </c>
      <c r="H38" s="92" t="s">
        <v>20</v>
      </c>
      <c r="I38" s="93">
        <v>12</v>
      </c>
      <c r="J38" s="93">
        <v>280</v>
      </c>
      <c r="K38" s="94">
        <f t="shared" si="54"/>
        <v>6720</v>
      </c>
      <c r="L38" s="125">
        <v>280</v>
      </c>
      <c r="M38" s="180">
        <f>L38/J38</f>
        <v>1</v>
      </c>
      <c r="N38" s="95">
        <f>L38/K38</f>
        <v>4.1666666666666664E-2</v>
      </c>
      <c r="O38" s="148">
        <v>85.23</v>
      </c>
      <c r="P38" s="135">
        <f t="shared" si="22"/>
        <v>7.1025</v>
      </c>
      <c r="Q38" s="108">
        <f t="shared" si="3"/>
        <v>10.8</v>
      </c>
      <c r="R38" s="108">
        <v>0.9</v>
      </c>
      <c r="S38" s="122">
        <f t="shared" si="4"/>
        <v>0.24</v>
      </c>
      <c r="T38" s="122">
        <v>0.02</v>
      </c>
      <c r="U38" s="121">
        <f t="shared" si="23"/>
        <v>0.92</v>
      </c>
      <c r="V38" s="36">
        <f>VLOOKUP(F38,'[1]Proposta HNK para Tenda'!$F:$T,15,0)</f>
        <v>8.99</v>
      </c>
      <c r="W38" s="36">
        <f>VLOOKUP(F38,'[1]Proposta HNK para Tenda'!$F:$U,16,0)</f>
        <v>6.99</v>
      </c>
      <c r="X38" s="36"/>
      <c r="Y38" s="98">
        <f t="shared" si="5"/>
        <v>3091.2000000000003</v>
      </c>
      <c r="Z38" s="99">
        <f t="shared" si="6"/>
        <v>23864.400000000001</v>
      </c>
      <c r="AA38" s="100">
        <f>L38*12*0.35/100</f>
        <v>11.76</v>
      </c>
      <c r="AB38" s="101"/>
      <c r="AC38" s="44">
        <f t="shared" si="7"/>
        <v>0.93051000000000006</v>
      </c>
      <c r="AD38" s="102">
        <f t="shared" si="8"/>
        <v>0.92</v>
      </c>
      <c r="AE38" s="102">
        <f t="shared" si="37"/>
        <v>1.0510000000000019E-2</v>
      </c>
      <c r="AG38" s="175">
        <v>265.86</v>
      </c>
      <c r="AH38" s="176">
        <f t="shared" si="57"/>
        <v>3126.5136000000002</v>
      </c>
      <c r="AI38" s="176">
        <f t="shared" si="58"/>
        <v>0.93051000000000006</v>
      </c>
      <c r="AJ38" s="103"/>
      <c r="AK38" s="103">
        <f t="shared" si="59"/>
        <v>0</v>
      </c>
      <c r="AL38" s="103">
        <f t="shared" si="60"/>
        <v>0</v>
      </c>
      <c r="AM38" s="7">
        <v>0</v>
      </c>
      <c r="AN38" s="138">
        <f t="shared" si="61"/>
        <v>0</v>
      </c>
      <c r="AO38" s="138">
        <f t="shared" si="62"/>
        <v>0</v>
      </c>
      <c r="AP38" s="103">
        <f t="shared" si="15"/>
        <v>3126.5136000000002</v>
      </c>
      <c r="AQ38" s="103">
        <f t="shared" si="16"/>
        <v>0.93051000000000006</v>
      </c>
      <c r="AR38" s="104">
        <f t="shared" si="63"/>
        <v>3091.2000000000003</v>
      </c>
      <c r="AS38" s="104">
        <f t="shared" si="38"/>
        <v>35.313599999999951</v>
      </c>
      <c r="AT38" s="103">
        <f t="shared" si="64"/>
        <v>7.1025</v>
      </c>
      <c r="AU38" s="104">
        <f t="shared" si="65"/>
        <v>6.1825000000000001</v>
      </c>
      <c r="AV38" s="105">
        <f t="shared" si="66"/>
        <v>0.11552217453505008</v>
      </c>
      <c r="AX38" s="150">
        <f t="shared" si="39"/>
        <v>6.99</v>
      </c>
      <c r="AY38" s="151">
        <f t="shared" si="28"/>
        <v>0</v>
      </c>
      <c r="AZ38" s="160">
        <f t="shared" si="26"/>
        <v>6.99</v>
      </c>
      <c r="BA38" s="164"/>
      <c r="BC38" s="86" t="s">
        <v>106</v>
      </c>
      <c r="BD38" s="86" t="s">
        <v>263</v>
      </c>
      <c r="BE38" s="87" t="s">
        <v>264</v>
      </c>
      <c r="BF38" s="87">
        <v>387000650117</v>
      </c>
      <c r="BG38" s="86" t="s">
        <v>265</v>
      </c>
      <c r="BH38" s="86">
        <v>2222</v>
      </c>
      <c r="BI38" s="86" t="s">
        <v>266</v>
      </c>
      <c r="BJ38" s="86">
        <v>13312250</v>
      </c>
      <c r="BK38" s="86" t="s">
        <v>267</v>
      </c>
      <c r="BL38" s="86" t="s">
        <v>108</v>
      </c>
    </row>
    <row r="39" spans="1:64" s="106" customFormat="1" ht="14.25" customHeight="1" thickBot="1" x14ac:dyDescent="0.25">
      <c r="A39" s="109">
        <v>8.5199999999999998E-2</v>
      </c>
      <c r="B39" s="27">
        <f>VLOOKUP(F39,Planilha3!D:F,3,0)</f>
        <v>5.0098310064648448</v>
      </c>
      <c r="C39" s="90">
        <f t="shared" si="35"/>
        <v>58.800833409211798</v>
      </c>
      <c r="D39" s="90" t="s">
        <v>76</v>
      </c>
      <c r="E39" s="90" t="s">
        <v>81</v>
      </c>
      <c r="F39" s="107">
        <v>904602</v>
      </c>
      <c r="G39" s="107">
        <v>1160869</v>
      </c>
      <c r="H39" s="92" t="s">
        <v>19</v>
      </c>
      <c r="I39" s="93">
        <v>24</v>
      </c>
      <c r="J39" s="93">
        <v>56</v>
      </c>
      <c r="K39" s="94">
        <f t="shared" si="54"/>
        <v>1344</v>
      </c>
      <c r="L39" s="170">
        <f t="shared" ref="L39:L40" si="67">J39*2</f>
        <v>112</v>
      </c>
      <c r="M39" s="180">
        <f>L39/J39</f>
        <v>2</v>
      </c>
      <c r="N39" s="95">
        <f>L39/K39</f>
        <v>8.3333333333333329E-2</v>
      </c>
      <c r="O39" s="148">
        <v>208.37</v>
      </c>
      <c r="P39" s="135">
        <f t="shared" si="22"/>
        <v>8.6820833333333329</v>
      </c>
      <c r="Q39" s="96">
        <f t="shared" si="3"/>
        <v>0</v>
      </c>
      <c r="R39" s="96">
        <v>0</v>
      </c>
      <c r="S39" s="97">
        <f t="shared" si="4"/>
        <v>0</v>
      </c>
      <c r="T39" s="97">
        <v>0</v>
      </c>
      <c r="U39" s="121">
        <f t="shared" si="23"/>
        <v>0</v>
      </c>
      <c r="V39" s="36">
        <f>VLOOKUP(F39,'[1]Proposta HNK para Tenda'!$F:$T,15,0)</f>
        <v>10.99</v>
      </c>
      <c r="W39" s="36">
        <f>VLOOKUP(F39,'[1]Proposta HNK para Tenda'!$F:$U,16,0)</f>
        <v>10.99</v>
      </c>
      <c r="X39" s="36"/>
      <c r="Y39" s="98">
        <f t="shared" si="5"/>
        <v>0</v>
      </c>
      <c r="Z39" s="99">
        <f t="shared" si="6"/>
        <v>23337.440000000002</v>
      </c>
      <c r="AA39" s="100">
        <f>L39*24*0.355/100</f>
        <v>9.5424000000000007</v>
      </c>
      <c r="AB39" s="101"/>
      <c r="AC39" s="44">
        <f t="shared" si="7"/>
        <v>0</v>
      </c>
      <c r="AD39" s="102">
        <f t="shared" si="8"/>
        <v>0</v>
      </c>
      <c r="AE39" s="102">
        <f t="shared" si="37"/>
        <v>0</v>
      </c>
      <c r="AG39" s="137">
        <v>0</v>
      </c>
      <c r="AH39" s="103">
        <f t="shared" si="57"/>
        <v>0</v>
      </c>
      <c r="AI39" s="103">
        <f t="shared" si="58"/>
        <v>0</v>
      </c>
      <c r="AJ39" s="103"/>
      <c r="AK39" s="103">
        <f t="shared" si="59"/>
        <v>0</v>
      </c>
      <c r="AL39" s="103">
        <f t="shared" si="60"/>
        <v>0</v>
      </c>
      <c r="AM39" s="7">
        <v>0</v>
      </c>
      <c r="AN39" s="138">
        <f t="shared" si="61"/>
        <v>0</v>
      </c>
      <c r="AO39" s="138">
        <f t="shared" si="62"/>
        <v>0</v>
      </c>
      <c r="AP39" s="103">
        <f t="shared" si="15"/>
        <v>0</v>
      </c>
      <c r="AQ39" s="103">
        <f t="shared" si="16"/>
        <v>0</v>
      </c>
      <c r="AR39" s="104">
        <f t="shared" si="63"/>
        <v>0</v>
      </c>
      <c r="AS39" s="104">
        <f t="shared" si="38"/>
        <v>0</v>
      </c>
      <c r="AT39" s="103">
        <f t="shared" si="64"/>
        <v>8.6820833333333329</v>
      </c>
      <c r="AU39" s="104">
        <f t="shared" si="65"/>
        <v>8.6820833333333329</v>
      </c>
      <c r="AV39" s="105">
        <f t="shared" si="66"/>
        <v>0.21000151653017901</v>
      </c>
      <c r="AX39" s="150">
        <f t="shared" si="39"/>
        <v>10.99</v>
      </c>
      <c r="AY39" s="151">
        <f t="shared" ref="AY39:AY57" si="68">X39*50%</f>
        <v>0</v>
      </c>
      <c r="AZ39" s="160">
        <f t="shared" si="26"/>
        <v>10.99</v>
      </c>
      <c r="BA39" s="164"/>
      <c r="BC39" s="86" t="s">
        <v>106</v>
      </c>
      <c r="BD39" s="86" t="s">
        <v>263</v>
      </c>
      <c r="BE39" s="87" t="s">
        <v>264</v>
      </c>
      <c r="BF39" s="87">
        <v>387000650117</v>
      </c>
      <c r="BG39" s="86" t="s">
        <v>265</v>
      </c>
      <c r="BH39" s="86">
        <v>2222</v>
      </c>
      <c r="BI39" s="86" t="s">
        <v>266</v>
      </c>
      <c r="BJ39" s="86">
        <v>13312250</v>
      </c>
      <c r="BK39" s="86" t="s">
        <v>267</v>
      </c>
      <c r="BL39" s="86" t="s">
        <v>108</v>
      </c>
    </row>
    <row r="40" spans="1:64" s="106" customFormat="1" ht="14.25" customHeight="1" thickBot="1" x14ac:dyDescent="0.25">
      <c r="A40" s="89">
        <v>4.2000000000000003E-2</v>
      </c>
      <c r="B40" s="27">
        <f>VLOOKUP(F40,Planilha3!D:F,3,0)</f>
        <v>17.452561060258553</v>
      </c>
      <c r="C40" s="90">
        <f t="shared" si="35"/>
        <v>415.53716810139412</v>
      </c>
      <c r="D40" s="90" t="s">
        <v>76</v>
      </c>
      <c r="E40" s="90" t="s">
        <v>79</v>
      </c>
      <c r="F40" s="107">
        <v>903681</v>
      </c>
      <c r="G40" s="107">
        <v>1110090</v>
      </c>
      <c r="H40" s="92" t="s">
        <v>18</v>
      </c>
      <c r="I40" s="93">
        <v>12</v>
      </c>
      <c r="J40" s="93">
        <v>280</v>
      </c>
      <c r="K40" s="94">
        <f>J40*24</f>
        <v>6720</v>
      </c>
      <c r="L40" s="125">
        <f t="shared" si="67"/>
        <v>560</v>
      </c>
      <c r="M40" s="180">
        <f t="shared" si="1"/>
        <v>2</v>
      </c>
      <c r="N40" s="95">
        <f t="shared" si="56"/>
        <v>8.3333333333333329E-2</v>
      </c>
      <c r="O40" s="148">
        <v>53.94</v>
      </c>
      <c r="P40" s="135">
        <f t="shared" si="22"/>
        <v>4.4950000000000001</v>
      </c>
      <c r="Q40" s="108">
        <f t="shared" si="3"/>
        <v>3.24</v>
      </c>
      <c r="R40" s="108">
        <v>0.27</v>
      </c>
      <c r="S40" s="122">
        <f t="shared" si="4"/>
        <v>0</v>
      </c>
      <c r="T40" s="122">
        <v>0</v>
      </c>
      <c r="U40" s="121">
        <f t="shared" si="23"/>
        <v>0.27</v>
      </c>
      <c r="V40" s="36">
        <v>5.69</v>
      </c>
      <c r="W40" s="36">
        <v>5.0900000000000007</v>
      </c>
      <c r="X40" s="36"/>
      <c r="Y40" s="98">
        <f t="shared" si="5"/>
        <v>1814.4</v>
      </c>
      <c r="Z40" s="99">
        <f t="shared" si="6"/>
        <v>30206.399999999998</v>
      </c>
      <c r="AA40" s="100">
        <f>L40*12*0.35/100</f>
        <v>23.52</v>
      </c>
      <c r="AB40" s="101"/>
      <c r="AC40" s="44">
        <f t="shared" si="7"/>
        <v>0.26691000000000004</v>
      </c>
      <c r="AD40" s="102">
        <f t="shared" si="8"/>
        <v>0.27</v>
      </c>
      <c r="AE40" s="102">
        <f t="shared" si="37"/>
        <v>-3.0899999999999817E-3</v>
      </c>
      <c r="AG40" s="175">
        <v>76.260000000000005</v>
      </c>
      <c r="AH40" s="176">
        <f t="shared" si="57"/>
        <v>1793.6352000000002</v>
      </c>
      <c r="AI40" s="176">
        <f t="shared" si="58"/>
        <v>0.26691000000000004</v>
      </c>
      <c r="AJ40" s="103"/>
      <c r="AK40" s="103">
        <f t="shared" si="59"/>
        <v>0</v>
      </c>
      <c r="AL40" s="103">
        <f t="shared" si="60"/>
        <v>0</v>
      </c>
      <c r="AM40" s="7">
        <v>0</v>
      </c>
      <c r="AN40" s="138">
        <f t="shared" si="61"/>
        <v>0</v>
      </c>
      <c r="AO40" s="138">
        <f t="shared" si="62"/>
        <v>0</v>
      </c>
      <c r="AP40" s="103">
        <f t="shared" si="15"/>
        <v>1793.6352000000002</v>
      </c>
      <c r="AQ40" s="103">
        <f t="shared" si="16"/>
        <v>0.26691000000000004</v>
      </c>
      <c r="AR40" s="104">
        <f t="shared" si="63"/>
        <v>1814.4</v>
      </c>
      <c r="AS40" s="104">
        <f t="shared" si="38"/>
        <v>-20.764799999999923</v>
      </c>
      <c r="AT40" s="103">
        <f t="shared" si="64"/>
        <v>4.4950000000000001</v>
      </c>
      <c r="AU40" s="104">
        <f t="shared" si="65"/>
        <v>4.2249999999999996</v>
      </c>
      <c r="AV40" s="105">
        <f t="shared" si="66"/>
        <v>0.16994106090373301</v>
      </c>
      <c r="AX40" s="150">
        <f t="shared" si="39"/>
        <v>5.0900000000000007</v>
      </c>
      <c r="AY40" s="151">
        <f t="shared" si="68"/>
        <v>0</v>
      </c>
      <c r="AZ40" s="160">
        <f t="shared" si="26"/>
        <v>5.0900000000000007</v>
      </c>
      <c r="BA40" s="164"/>
      <c r="BC40" s="86" t="s">
        <v>106</v>
      </c>
      <c r="BD40" s="86" t="s">
        <v>263</v>
      </c>
      <c r="BE40" s="87" t="s">
        <v>264</v>
      </c>
      <c r="BF40" s="87">
        <v>387000650117</v>
      </c>
      <c r="BG40" s="86" t="s">
        <v>265</v>
      </c>
      <c r="BH40" s="86">
        <v>2222</v>
      </c>
      <c r="BI40" s="86" t="s">
        <v>266</v>
      </c>
      <c r="BJ40" s="86">
        <v>13312250</v>
      </c>
      <c r="BK40" s="86" t="s">
        <v>267</v>
      </c>
      <c r="BL40" s="86" t="s">
        <v>108</v>
      </c>
    </row>
    <row r="41" spans="1:64" s="106" customFormat="1" ht="14.25" customHeight="1" thickBot="1" x14ac:dyDescent="0.25">
      <c r="A41" s="109">
        <v>4.2599999999999999E-2</v>
      </c>
      <c r="B41" s="27">
        <f>VLOOKUP(F41,Planilha3!D:F,3,0)</f>
        <v>5.894933361411514</v>
      </c>
      <c r="C41" s="90">
        <f t="shared" si="35"/>
        <v>138.37871740402616</v>
      </c>
      <c r="D41" s="90" t="s">
        <v>76</v>
      </c>
      <c r="E41" s="90" t="s">
        <v>79</v>
      </c>
      <c r="F41" s="107">
        <v>903741</v>
      </c>
      <c r="G41" s="107">
        <v>1080284</v>
      </c>
      <c r="H41" s="92" t="s">
        <v>17</v>
      </c>
      <c r="I41" s="93">
        <v>12</v>
      </c>
      <c r="J41" s="93">
        <v>175</v>
      </c>
      <c r="K41" s="94">
        <f t="shared" ref="K41:K47" si="69">J41*24</f>
        <v>4200</v>
      </c>
      <c r="L41" s="170">
        <f>175*2</f>
        <v>350</v>
      </c>
      <c r="M41" s="180">
        <f t="shared" si="1"/>
        <v>2</v>
      </c>
      <c r="N41" s="95">
        <f t="shared" si="56"/>
        <v>8.3333333333333329E-2</v>
      </c>
      <c r="O41" s="148">
        <v>64.37</v>
      </c>
      <c r="P41" s="135">
        <f t="shared" si="22"/>
        <v>5.3641666666666667</v>
      </c>
      <c r="Q41" s="96">
        <f t="shared" si="3"/>
        <v>0</v>
      </c>
      <c r="R41" s="96">
        <v>0</v>
      </c>
      <c r="S41" s="97">
        <f t="shared" si="4"/>
        <v>0</v>
      </c>
      <c r="T41" s="97">
        <v>0</v>
      </c>
      <c r="U41" s="121">
        <f t="shared" si="23"/>
        <v>0</v>
      </c>
      <c r="V41" s="36">
        <v>6.7900000000000009</v>
      </c>
      <c r="W41" s="36">
        <v>6.7900000000000009</v>
      </c>
      <c r="X41" s="36"/>
      <c r="Y41" s="98">
        <f t="shared" si="5"/>
        <v>0</v>
      </c>
      <c r="Z41" s="99">
        <f t="shared" si="6"/>
        <v>22529.5</v>
      </c>
      <c r="AA41" s="100">
        <f>L41*12*0.355/100</f>
        <v>14.91</v>
      </c>
      <c r="AB41" s="101"/>
      <c r="AC41" s="44">
        <f t="shared" si="7"/>
        <v>0</v>
      </c>
      <c r="AD41" s="102">
        <f t="shared" si="8"/>
        <v>0</v>
      </c>
      <c r="AE41" s="102">
        <f t="shared" si="37"/>
        <v>0</v>
      </c>
      <c r="AG41" s="137">
        <v>0</v>
      </c>
      <c r="AH41" s="103">
        <f t="shared" si="57"/>
        <v>0</v>
      </c>
      <c r="AI41" s="103">
        <f t="shared" si="58"/>
        <v>0</v>
      </c>
      <c r="AJ41" s="103"/>
      <c r="AK41" s="103">
        <f t="shared" si="59"/>
        <v>0</v>
      </c>
      <c r="AL41" s="103">
        <f t="shared" si="60"/>
        <v>0</v>
      </c>
      <c r="AM41" s="7">
        <v>0</v>
      </c>
      <c r="AN41" s="138">
        <f t="shared" si="61"/>
        <v>0</v>
      </c>
      <c r="AO41" s="138">
        <f t="shared" si="62"/>
        <v>0</v>
      </c>
      <c r="AP41" s="103">
        <f t="shared" si="15"/>
        <v>0</v>
      </c>
      <c r="AQ41" s="103">
        <f t="shared" si="16"/>
        <v>0</v>
      </c>
      <c r="AR41" s="104">
        <f t="shared" si="63"/>
        <v>0</v>
      </c>
      <c r="AS41" s="104">
        <f t="shared" si="38"/>
        <v>0</v>
      </c>
      <c r="AT41" s="103">
        <f t="shared" si="64"/>
        <v>5.3641666666666667</v>
      </c>
      <c r="AU41" s="104">
        <f t="shared" si="65"/>
        <v>5.3641666666666667</v>
      </c>
      <c r="AV41" s="105">
        <f t="shared" si="66"/>
        <v>0.20999018163966626</v>
      </c>
      <c r="AX41" s="150">
        <f t="shared" si="39"/>
        <v>6.7900000000000009</v>
      </c>
      <c r="AY41" s="151">
        <f t="shared" si="68"/>
        <v>0</v>
      </c>
      <c r="AZ41" s="160">
        <f t="shared" si="26"/>
        <v>6.7900000000000009</v>
      </c>
      <c r="BA41" s="164"/>
      <c r="BC41" s="86" t="s">
        <v>106</v>
      </c>
      <c r="BD41" s="86" t="s">
        <v>263</v>
      </c>
      <c r="BE41" s="87" t="s">
        <v>264</v>
      </c>
      <c r="BF41" s="87">
        <v>387000650117</v>
      </c>
      <c r="BG41" s="86" t="s">
        <v>265</v>
      </c>
      <c r="BH41" s="86">
        <v>2222</v>
      </c>
      <c r="BI41" s="86" t="s">
        <v>266</v>
      </c>
      <c r="BJ41" s="86">
        <v>13312250</v>
      </c>
      <c r="BK41" s="86" t="s">
        <v>267</v>
      </c>
      <c r="BL41" s="86" t="s">
        <v>108</v>
      </c>
    </row>
    <row r="42" spans="1:64" s="106" customFormat="1" ht="14.25" customHeight="1" thickBot="1" x14ac:dyDescent="0.25">
      <c r="A42" s="109">
        <v>4.2599999999999999E-2</v>
      </c>
      <c r="B42" s="27">
        <f>VLOOKUP(F42,Planilha3!D:F,3,0)</f>
        <v>5.6291775156513468</v>
      </c>
      <c r="C42" s="90">
        <f t="shared" si="35"/>
        <v>132.14031726881097</v>
      </c>
      <c r="D42" s="90" t="s">
        <v>76</v>
      </c>
      <c r="E42" s="90" t="s">
        <v>79</v>
      </c>
      <c r="F42" s="107">
        <v>902544</v>
      </c>
      <c r="G42" s="107">
        <v>1041649</v>
      </c>
      <c r="H42" s="92" t="s">
        <v>15</v>
      </c>
      <c r="I42" s="93">
        <v>12</v>
      </c>
      <c r="J42" s="93">
        <v>175</v>
      </c>
      <c r="K42" s="94">
        <f t="shared" si="69"/>
        <v>4200</v>
      </c>
      <c r="L42" s="170">
        <f>175*2</f>
        <v>350</v>
      </c>
      <c r="M42" s="180">
        <f t="shared" si="1"/>
        <v>2</v>
      </c>
      <c r="N42" s="95">
        <f t="shared" si="56"/>
        <v>8.3333333333333329E-2</v>
      </c>
      <c r="O42" s="148">
        <v>64.37</v>
      </c>
      <c r="P42" s="135">
        <f t="shared" si="22"/>
        <v>5.3641666666666667</v>
      </c>
      <c r="Q42" s="96">
        <f t="shared" si="3"/>
        <v>0</v>
      </c>
      <c r="R42" s="96">
        <v>0</v>
      </c>
      <c r="S42" s="97">
        <f t="shared" si="4"/>
        <v>0</v>
      </c>
      <c r="T42" s="97">
        <v>0</v>
      </c>
      <c r="U42" s="121">
        <f t="shared" si="23"/>
        <v>0</v>
      </c>
      <c r="V42" s="36">
        <v>6.7900000000000009</v>
      </c>
      <c r="W42" s="36">
        <v>6.7900000000000009</v>
      </c>
      <c r="X42" s="36"/>
      <c r="Y42" s="98">
        <f t="shared" si="5"/>
        <v>0</v>
      </c>
      <c r="Z42" s="99">
        <f t="shared" si="6"/>
        <v>22529.5</v>
      </c>
      <c r="AA42" s="100">
        <f>L42*12*0.355/100</f>
        <v>14.91</v>
      </c>
      <c r="AB42" s="101"/>
      <c r="AC42" s="44">
        <f t="shared" si="7"/>
        <v>0</v>
      </c>
      <c r="AD42" s="102">
        <f t="shared" si="8"/>
        <v>0</v>
      </c>
      <c r="AE42" s="102">
        <f t="shared" si="37"/>
        <v>0</v>
      </c>
      <c r="AG42" s="137">
        <v>0</v>
      </c>
      <c r="AH42" s="103">
        <f t="shared" si="57"/>
        <v>0</v>
      </c>
      <c r="AI42" s="103">
        <f t="shared" si="58"/>
        <v>0</v>
      </c>
      <c r="AJ42" s="103"/>
      <c r="AK42" s="103">
        <f t="shared" si="59"/>
        <v>0</v>
      </c>
      <c r="AL42" s="103">
        <f t="shared" si="60"/>
        <v>0</v>
      </c>
      <c r="AM42" s="7">
        <v>0</v>
      </c>
      <c r="AN42" s="138">
        <f t="shared" si="61"/>
        <v>0</v>
      </c>
      <c r="AO42" s="138">
        <f t="shared" si="62"/>
        <v>0</v>
      </c>
      <c r="AP42" s="103">
        <f t="shared" si="15"/>
        <v>0</v>
      </c>
      <c r="AQ42" s="103">
        <f t="shared" si="16"/>
        <v>0</v>
      </c>
      <c r="AR42" s="104">
        <f t="shared" si="63"/>
        <v>0</v>
      </c>
      <c r="AS42" s="104">
        <f t="shared" si="38"/>
        <v>0</v>
      </c>
      <c r="AT42" s="103">
        <f t="shared" si="64"/>
        <v>5.3641666666666667</v>
      </c>
      <c r="AU42" s="104">
        <f t="shared" si="65"/>
        <v>5.3641666666666667</v>
      </c>
      <c r="AV42" s="105">
        <f t="shared" si="66"/>
        <v>0.20999018163966626</v>
      </c>
      <c r="AX42" s="150">
        <f t="shared" si="39"/>
        <v>6.7900000000000009</v>
      </c>
      <c r="AY42" s="151">
        <f t="shared" si="68"/>
        <v>0</v>
      </c>
      <c r="AZ42" s="160">
        <f t="shared" si="26"/>
        <v>6.7900000000000009</v>
      </c>
      <c r="BA42" s="164"/>
      <c r="BC42" s="86" t="s">
        <v>106</v>
      </c>
      <c r="BD42" s="86" t="s">
        <v>263</v>
      </c>
      <c r="BE42" s="87" t="s">
        <v>264</v>
      </c>
      <c r="BF42" s="87">
        <v>387000650117</v>
      </c>
      <c r="BG42" s="86" t="s">
        <v>265</v>
      </c>
      <c r="BH42" s="86">
        <v>2222</v>
      </c>
      <c r="BI42" s="86" t="s">
        <v>266</v>
      </c>
      <c r="BJ42" s="86">
        <v>13312250</v>
      </c>
      <c r="BK42" s="86" t="s">
        <v>267</v>
      </c>
      <c r="BL42" s="86" t="s">
        <v>108</v>
      </c>
    </row>
    <row r="43" spans="1:64" s="106" customFormat="1" ht="14.25" customHeight="1" thickBot="1" x14ac:dyDescent="0.25">
      <c r="A43" s="89">
        <v>4.2000000000000003E-2</v>
      </c>
      <c r="B43" s="27">
        <f>VLOOKUP(F43,Planilha3!D:F,3,0)</f>
        <v>33.175374857016735</v>
      </c>
      <c r="C43" s="90">
        <f t="shared" si="35"/>
        <v>789.88987754801747</v>
      </c>
      <c r="D43" s="90" t="s">
        <v>76</v>
      </c>
      <c r="E43" s="90" t="s">
        <v>79</v>
      </c>
      <c r="F43" s="107">
        <v>903683</v>
      </c>
      <c r="G43" s="107">
        <v>1110091</v>
      </c>
      <c r="H43" s="92" t="s">
        <v>16</v>
      </c>
      <c r="I43" s="93">
        <v>12</v>
      </c>
      <c r="J43" s="93">
        <v>280</v>
      </c>
      <c r="K43" s="94">
        <f t="shared" si="69"/>
        <v>6720</v>
      </c>
      <c r="L43" s="125">
        <v>560</v>
      </c>
      <c r="M43" s="180">
        <f t="shared" si="1"/>
        <v>2</v>
      </c>
      <c r="N43" s="95">
        <f t="shared" si="56"/>
        <v>8.3333333333333329E-2</v>
      </c>
      <c r="O43" s="148">
        <v>53.94</v>
      </c>
      <c r="P43" s="135">
        <f t="shared" si="22"/>
        <v>4.4950000000000001</v>
      </c>
      <c r="Q43" s="108">
        <f t="shared" si="3"/>
        <v>3.24</v>
      </c>
      <c r="R43" s="108">
        <v>0.27</v>
      </c>
      <c r="S43" s="122">
        <f t="shared" si="4"/>
        <v>0</v>
      </c>
      <c r="T43" s="122">
        <v>0</v>
      </c>
      <c r="U43" s="121">
        <f t="shared" si="23"/>
        <v>0.27</v>
      </c>
      <c r="V43" s="36">
        <v>5.69</v>
      </c>
      <c r="W43" s="36">
        <v>5.0900000000000007</v>
      </c>
      <c r="X43" s="36"/>
      <c r="Y43" s="98">
        <f t="shared" si="5"/>
        <v>1814.4</v>
      </c>
      <c r="Z43" s="99">
        <f t="shared" si="6"/>
        <v>30206.399999999998</v>
      </c>
      <c r="AA43" s="100">
        <f>L43*12*0.35/100</f>
        <v>23.52</v>
      </c>
      <c r="AB43" s="101"/>
      <c r="AC43" s="44">
        <f t="shared" si="7"/>
        <v>0.26691000000000004</v>
      </c>
      <c r="AD43" s="102">
        <f t="shared" si="8"/>
        <v>0.27</v>
      </c>
      <c r="AE43" s="102">
        <f t="shared" si="37"/>
        <v>-3.0899999999999817E-3</v>
      </c>
      <c r="AG43" s="175">
        <v>76.260000000000005</v>
      </c>
      <c r="AH43" s="176">
        <f t="shared" si="57"/>
        <v>1793.6352000000002</v>
      </c>
      <c r="AI43" s="176">
        <f t="shared" si="58"/>
        <v>0.26691000000000004</v>
      </c>
      <c r="AJ43" s="103"/>
      <c r="AK43" s="103">
        <f t="shared" si="59"/>
        <v>0</v>
      </c>
      <c r="AL43" s="103">
        <f t="shared" si="60"/>
        <v>0</v>
      </c>
      <c r="AM43" s="7">
        <v>0</v>
      </c>
      <c r="AN43" s="138">
        <f t="shared" si="61"/>
        <v>0</v>
      </c>
      <c r="AO43" s="138">
        <f t="shared" si="62"/>
        <v>0</v>
      </c>
      <c r="AP43" s="103">
        <f t="shared" si="15"/>
        <v>1793.6352000000002</v>
      </c>
      <c r="AQ43" s="103">
        <f t="shared" si="16"/>
        <v>0.26691000000000004</v>
      </c>
      <c r="AR43" s="104">
        <f t="shared" si="63"/>
        <v>1814.4</v>
      </c>
      <c r="AS43" s="104">
        <f t="shared" si="38"/>
        <v>-20.764799999999923</v>
      </c>
      <c r="AT43" s="103">
        <f t="shared" si="64"/>
        <v>4.4950000000000001</v>
      </c>
      <c r="AU43" s="104">
        <f t="shared" si="65"/>
        <v>4.2249999999999996</v>
      </c>
      <c r="AV43" s="105">
        <f t="shared" si="66"/>
        <v>0.16994106090373301</v>
      </c>
      <c r="AX43" s="150">
        <f t="shared" si="39"/>
        <v>5.0900000000000007</v>
      </c>
      <c r="AY43" s="151">
        <f t="shared" si="68"/>
        <v>0</v>
      </c>
      <c r="AZ43" s="160">
        <f t="shared" si="26"/>
        <v>5.0900000000000007</v>
      </c>
      <c r="BA43" s="164"/>
      <c r="BC43" s="86" t="s">
        <v>106</v>
      </c>
      <c r="BD43" s="86" t="s">
        <v>263</v>
      </c>
      <c r="BE43" s="87" t="s">
        <v>264</v>
      </c>
      <c r="BF43" s="87">
        <v>387000650117</v>
      </c>
      <c r="BG43" s="86" t="s">
        <v>265</v>
      </c>
      <c r="BH43" s="86">
        <v>2222</v>
      </c>
      <c r="BI43" s="86" t="s">
        <v>266</v>
      </c>
      <c r="BJ43" s="86">
        <v>13312250</v>
      </c>
      <c r="BK43" s="86" t="s">
        <v>267</v>
      </c>
      <c r="BL43" s="86" t="s">
        <v>108</v>
      </c>
    </row>
    <row r="44" spans="1:64" s="106" customFormat="1" ht="14.25" customHeight="1" thickBot="1" x14ac:dyDescent="0.25">
      <c r="A44" s="89">
        <v>4.2000000000000003E-2</v>
      </c>
      <c r="B44" s="27">
        <v>0</v>
      </c>
      <c r="C44" s="90">
        <f t="shared" si="35"/>
        <v>0</v>
      </c>
      <c r="D44" s="90" t="s">
        <v>76</v>
      </c>
      <c r="E44" s="90" t="s">
        <v>79</v>
      </c>
      <c r="F44" s="107">
        <v>904773</v>
      </c>
      <c r="G44" s="107">
        <v>1170235</v>
      </c>
      <c r="H44" s="92" t="s">
        <v>14</v>
      </c>
      <c r="I44" s="93">
        <v>12</v>
      </c>
      <c r="J44" s="93">
        <v>280</v>
      </c>
      <c r="K44" s="94">
        <f t="shared" si="69"/>
        <v>6720</v>
      </c>
      <c r="L44" s="170">
        <v>560</v>
      </c>
      <c r="M44" s="180">
        <f t="shared" si="1"/>
        <v>2</v>
      </c>
      <c r="N44" s="95">
        <f t="shared" si="56"/>
        <v>8.3333333333333329E-2</v>
      </c>
      <c r="O44" s="148">
        <v>53.94</v>
      </c>
      <c r="P44" s="135">
        <f t="shared" si="22"/>
        <v>4.4950000000000001</v>
      </c>
      <c r="Q44" s="108">
        <f t="shared" si="3"/>
        <v>3.24</v>
      </c>
      <c r="R44" s="108">
        <v>0.27</v>
      </c>
      <c r="S44" s="122">
        <f t="shared" si="4"/>
        <v>0</v>
      </c>
      <c r="T44" s="122">
        <v>0</v>
      </c>
      <c r="U44" s="121">
        <f t="shared" si="23"/>
        <v>0.27</v>
      </c>
      <c r="V44" s="36">
        <v>5.69</v>
      </c>
      <c r="W44" s="36">
        <v>5.0900000000000007</v>
      </c>
      <c r="X44" s="36"/>
      <c r="Y44" s="98">
        <f t="shared" si="5"/>
        <v>1814.4</v>
      </c>
      <c r="Z44" s="99">
        <f t="shared" si="6"/>
        <v>30206.399999999998</v>
      </c>
      <c r="AA44" s="100">
        <f>L44*12*0.35/100</f>
        <v>23.52</v>
      </c>
      <c r="AB44" s="101"/>
      <c r="AC44" s="44">
        <f t="shared" si="7"/>
        <v>0.26691000000000004</v>
      </c>
      <c r="AD44" s="102">
        <f t="shared" si="8"/>
        <v>0.27</v>
      </c>
      <c r="AE44" s="102">
        <f t="shared" si="37"/>
        <v>-3.0899999999999817E-3</v>
      </c>
      <c r="AG44" s="175">
        <v>76.260000000000005</v>
      </c>
      <c r="AH44" s="176">
        <f t="shared" si="57"/>
        <v>1793.6352000000002</v>
      </c>
      <c r="AI44" s="176">
        <f t="shared" si="58"/>
        <v>0.26691000000000004</v>
      </c>
      <c r="AJ44" s="103"/>
      <c r="AK44" s="103">
        <f t="shared" si="59"/>
        <v>0</v>
      </c>
      <c r="AL44" s="103">
        <f t="shared" si="60"/>
        <v>0</v>
      </c>
      <c r="AM44" s="7">
        <v>0</v>
      </c>
      <c r="AN44" s="138">
        <f t="shared" si="61"/>
        <v>0</v>
      </c>
      <c r="AO44" s="138">
        <f t="shared" si="62"/>
        <v>0</v>
      </c>
      <c r="AP44" s="103">
        <f t="shared" si="15"/>
        <v>1793.6352000000002</v>
      </c>
      <c r="AQ44" s="103">
        <f t="shared" si="16"/>
        <v>0.26691000000000004</v>
      </c>
      <c r="AR44" s="104">
        <f t="shared" si="63"/>
        <v>1814.4</v>
      </c>
      <c r="AS44" s="104">
        <f t="shared" si="38"/>
        <v>-20.764799999999923</v>
      </c>
      <c r="AT44" s="103">
        <f t="shared" si="64"/>
        <v>4.4950000000000001</v>
      </c>
      <c r="AU44" s="104">
        <f t="shared" si="65"/>
        <v>4.2249999999999996</v>
      </c>
      <c r="AV44" s="105">
        <f t="shared" si="66"/>
        <v>0.16994106090373301</v>
      </c>
      <c r="AX44" s="150">
        <f t="shared" si="39"/>
        <v>5.0900000000000007</v>
      </c>
      <c r="AY44" s="151">
        <f t="shared" si="68"/>
        <v>0</v>
      </c>
      <c r="AZ44" s="160">
        <f t="shared" si="26"/>
        <v>5.0900000000000007</v>
      </c>
      <c r="BA44" s="164"/>
      <c r="BC44" s="86" t="s">
        <v>106</v>
      </c>
      <c r="BD44" s="86" t="s">
        <v>263</v>
      </c>
      <c r="BE44" s="87" t="s">
        <v>264</v>
      </c>
      <c r="BF44" s="87">
        <v>387000650117</v>
      </c>
      <c r="BG44" s="86" t="s">
        <v>265</v>
      </c>
      <c r="BH44" s="86">
        <v>2222</v>
      </c>
      <c r="BI44" s="86" t="s">
        <v>266</v>
      </c>
      <c r="BJ44" s="86">
        <v>13312250</v>
      </c>
      <c r="BK44" s="86" t="s">
        <v>267</v>
      </c>
      <c r="BL44" s="86" t="s">
        <v>108</v>
      </c>
    </row>
    <row r="45" spans="1:64" s="106" customFormat="1" ht="14.25" customHeight="1" thickBot="1" x14ac:dyDescent="0.25">
      <c r="A45" s="109">
        <v>4.2599999999999999E-2</v>
      </c>
      <c r="B45" s="27">
        <f>VLOOKUP(F45,Planilha3!D:F,3,0)</f>
        <v>3.9785143998218149</v>
      </c>
      <c r="C45" s="90">
        <f t="shared" si="35"/>
        <v>93.392356803328994</v>
      </c>
      <c r="D45" s="90" t="s">
        <v>76</v>
      </c>
      <c r="E45" s="90" t="s">
        <v>79</v>
      </c>
      <c r="F45" s="107">
        <v>902581</v>
      </c>
      <c r="G45" s="107">
        <v>1017033</v>
      </c>
      <c r="H45" s="92" t="s">
        <v>13</v>
      </c>
      <c r="I45" s="93">
        <v>12</v>
      </c>
      <c r="J45" s="93">
        <v>175</v>
      </c>
      <c r="K45" s="94">
        <f t="shared" si="69"/>
        <v>4200</v>
      </c>
      <c r="L45" s="170">
        <v>350</v>
      </c>
      <c r="M45" s="180">
        <f t="shared" si="1"/>
        <v>2</v>
      </c>
      <c r="N45" s="95">
        <f t="shared" si="56"/>
        <v>8.3333333333333329E-2</v>
      </c>
      <c r="O45" s="148">
        <v>64.37</v>
      </c>
      <c r="P45" s="135">
        <f t="shared" si="22"/>
        <v>5.3641666666666667</v>
      </c>
      <c r="Q45" s="96">
        <f t="shared" si="3"/>
        <v>0</v>
      </c>
      <c r="R45" s="96">
        <v>0</v>
      </c>
      <c r="S45" s="97">
        <f t="shared" si="4"/>
        <v>0</v>
      </c>
      <c r="T45" s="97">
        <v>0</v>
      </c>
      <c r="U45" s="121">
        <f t="shared" si="23"/>
        <v>0</v>
      </c>
      <c r="V45" s="36">
        <v>6.7900000000000009</v>
      </c>
      <c r="W45" s="36">
        <v>6.7900000000000009</v>
      </c>
      <c r="X45" s="36"/>
      <c r="Y45" s="98">
        <f t="shared" si="5"/>
        <v>0</v>
      </c>
      <c r="Z45" s="99">
        <f t="shared" si="6"/>
        <v>22529.5</v>
      </c>
      <c r="AA45" s="100">
        <f>L45*12*0.355/100</f>
        <v>14.91</v>
      </c>
      <c r="AB45" s="101"/>
      <c r="AC45" s="44">
        <f t="shared" si="7"/>
        <v>0</v>
      </c>
      <c r="AD45" s="102">
        <f t="shared" si="8"/>
        <v>0</v>
      </c>
      <c r="AE45" s="102">
        <f t="shared" si="37"/>
        <v>0</v>
      </c>
      <c r="AG45" s="137">
        <v>0</v>
      </c>
      <c r="AH45" s="103">
        <f t="shared" si="57"/>
        <v>0</v>
      </c>
      <c r="AI45" s="103">
        <f t="shared" si="58"/>
        <v>0</v>
      </c>
      <c r="AJ45" s="103"/>
      <c r="AK45" s="103">
        <f t="shared" si="59"/>
        <v>0</v>
      </c>
      <c r="AL45" s="103">
        <f t="shared" si="60"/>
        <v>0</v>
      </c>
      <c r="AM45" s="7">
        <v>0</v>
      </c>
      <c r="AN45" s="138">
        <f t="shared" si="61"/>
        <v>0</v>
      </c>
      <c r="AO45" s="138">
        <f t="shared" si="62"/>
        <v>0</v>
      </c>
      <c r="AP45" s="103">
        <f t="shared" si="15"/>
        <v>0</v>
      </c>
      <c r="AQ45" s="103">
        <f t="shared" si="16"/>
        <v>0</v>
      </c>
      <c r="AR45" s="104">
        <f t="shared" si="63"/>
        <v>0</v>
      </c>
      <c r="AS45" s="104">
        <f t="shared" si="38"/>
        <v>0</v>
      </c>
      <c r="AT45" s="103">
        <f t="shared" si="64"/>
        <v>5.3641666666666667</v>
      </c>
      <c r="AU45" s="104">
        <f t="shared" si="65"/>
        <v>5.3641666666666667</v>
      </c>
      <c r="AV45" s="105">
        <f t="shared" si="66"/>
        <v>0.20999018163966626</v>
      </c>
      <c r="AX45" s="150">
        <f t="shared" si="39"/>
        <v>6.7900000000000009</v>
      </c>
      <c r="AY45" s="151">
        <f t="shared" si="68"/>
        <v>0</v>
      </c>
      <c r="AZ45" s="160">
        <f t="shared" si="26"/>
        <v>6.7900000000000009</v>
      </c>
      <c r="BA45" s="164"/>
      <c r="BC45" s="86" t="s">
        <v>106</v>
      </c>
      <c r="BD45" s="86" t="s">
        <v>263</v>
      </c>
      <c r="BE45" s="87" t="s">
        <v>264</v>
      </c>
      <c r="BF45" s="87">
        <v>387000650117</v>
      </c>
      <c r="BG45" s="86" t="s">
        <v>265</v>
      </c>
      <c r="BH45" s="86">
        <v>2222</v>
      </c>
      <c r="BI45" s="86" t="s">
        <v>266</v>
      </c>
      <c r="BJ45" s="86">
        <v>13312250</v>
      </c>
      <c r="BK45" s="86" t="s">
        <v>267</v>
      </c>
      <c r="BL45" s="86" t="s">
        <v>108</v>
      </c>
    </row>
    <row r="46" spans="1:64" s="106" customFormat="1" ht="14.25" customHeight="1" thickBot="1" x14ac:dyDescent="0.25">
      <c r="A46" s="109">
        <v>4.2599999999999999E-2</v>
      </c>
      <c r="B46" s="27">
        <f>VLOOKUP(F46,Planilha3!D:F,3,0)</f>
        <v>2.5961263095001876</v>
      </c>
      <c r="C46" s="90">
        <f t="shared" si="35"/>
        <v>60.941932147891727</v>
      </c>
      <c r="D46" s="90" t="s">
        <v>76</v>
      </c>
      <c r="E46" s="90" t="s">
        <v>77</v>
      </c>
      <c r="F46" s="107">
        <v>903901</v>
      </c>
      <c r="G46" s="107">
        <v>1170142</v>
      </c>
      <c r="H46" s="92" t="s">
        <v>2</v>
      </c>
      <c r="I46" s="93">
        <v>12</v>
      </c>
      <c r="J46" s="93">
        <v>126</v>
      </c>
      <c r="K46" s="94">
        <f t="shared" si="69"/>
        <v>3024</v>
      </c>
      <c r="L46" s="125">
        <v>126</v>
      </c>
      <c r="M46" s="180">
        <f t="shared" si="1"/>
        <v>1</v>
      </c>
      <c r="N46" s="95">
        <f t="shared" si="56"/>
        <v>4.1666666666666664E-2</v>
      </c>
      <c r="O46" s="148">
        <v>104.19</v>
      </c>
      <c r="P46" s="135">
        <f t="shared" si="22"/>
        <v>8.6824999999999992</v>
      </c>
      <c r="Q46" s="96">
        <f t="shared" si="3"/>
        <v>0</v>
      </c>
      <c r="R46" s="96">
        <v>0</v>
      </c>
      <c r="S46" s="97">
        <f t="shared" si="4"/>
        <v>0</v>
      </c>
      <c r="T46" s="97">
        <v>0</v>
      </c>
      <c r="U46" s="121">
        <f t="shared" si="23"/>
        <v>0</v>
      </c>
      <c r="V46" s="36">
        <f>VLOOKUP(F46,'[1]Proposta HNK para Tenda'!$F:$T,15,0)</f>
        <v>10.99</v>
      </c>
      <c r="W46" s="36">
        <f>VLOOKUP(F46,'[1]Proposta HNK para Tenda'!$F:$U,16,0)</f>
        <v>10.99</v>
      </c>
      <c r="X46" s="36"/>
      <c r="Y46" s="98">
        <f t="shared" si="5"/>
        <v>0</v>
      </c>
      <c r="Z46" s="99">
        <f t="shared" si="6"/>
        <v>13127.94</v>
      </c>
      <c r="AA46" s="100">
        <f>L46*12*0.355/100</f>
        <v>5.3675999999999995</v>
      </c>
      <c r="AB46" s="101"/>
      <c r="AC46" s="44">
        <f t="shared" si="7"/>
        <v>0</v>
      </c>
      <c r="AD46" s="102">
        <f t="shared" si="8"/>
        <v>0</v>
      </c>
      <c r="AE46" s="102">
        <f t="shared" si="37"/>
        <v>0</v>
      </c>
      <c r="AG46" s="137">
        <v>0</v>
      </c>
      <c r="AH46" s="103">
        <f t="shared" si="57"/>
        <v>0</v>
      </c>
      <c r="AI46" s="103">
        <f t="shared" si="58"/>
        <v>0</v>
      </c>
      <c r="AJ46" s="103"/>
      <c r="AK46" s="103">
        <f t="shared" si="59"/>
        <v>0</v>
      </c>
      <c r="AL46" s="103">
        <f t="shared" si="60"/>
        <v>0</v>
      </c>
      <c r="AM46" s="7">
        <v>0</v>
      </c>
      <c r="AN46" s="138">
        <f t="shared" si="61"/>
        <v>0</v>
      </c>
      <c r="AO46" s="138">
        <f t="shared" si="62"/>
        <v>0</v>
      </c>
      <c r="AP46" s="103">
        <f t="shared" si="15"/>
        <v>0</v>
      </c>
      <c r="AQ46" s="103">
        <f t="shared" si="16"/>
        <v>0</v>
      </c>
      <c r="AR46" s="104">
        <f t="shared" si="63"/>
        <v>0</v>
      </c>
      <c r="AS46" s="104">
        <f t="shared" si="38"/>
        <v>0</v>
      </c>
      <c r="AT46" s="103">
        <f t="shared" si="64"/>
        <v>8.6824999999999992</v>
      </c>
      <c r="AU46" s="104">
        <f t="shared" si="65"/>
        <v>8.6824999999999992</v>
      </c>
      <c r="AV46" s="105">
        <f t="shared" si="66"/>
        <v>0.20996360327570526</v>
      </c>
      <c r="AX46" s="150">
        <f t="shared" si="39"/>
        <v>10.99</v>
      </c>
      <c r="AY46" s="151">
        <f t="shared" si="68"/>
        <v>0</v>
      </c>
      <c r="AZ46" s="160">
        <f t="shared" si="26"/>
        <v>10.99</v>
      </c>
      <c r="BA46" s="164"/>
      <c r="BC46" s="86" t="s">
        <v>106</v>
      </c>
      <c r="BD46" s="86" t="s">
        <v>263</v>
      </c>
      <c r="BE46" s="87" t="s">
        <v>264</v>
      </c>
      <c r="BF46" s="87">
        <v>387000650117</v>
      </c>
      <c r="BG46" s="86" t="s">
        <v>265</v>
      </c>
      <c r="BH46" s="86">
        <v>2222</v>
      </c>
      <c r="BI46" s="86" t="s">
        <v>266</v>
      </c>
      <c r="BJ46" s="86">
        <v>13312250</v>
      </c>
      <c r="BK46" s="86" t="s">
        <v>267</v>
      </c>
      <c r="BL46" s="86" t="s">
        <v>108</v>
      </c>
    </row>
    <row r="47" spans="1:64" s="106" customFormat="1" ht="14.25" customHeight="1" thickBot="1" x14ac:dyDescent="0.25">
      <c r="A47" s="109">
        <v>4.2000000000000003E-2</v>
      </c>
      <c r="B47" s="27">
        <f>VLOOKUP(F47,Planilha3!D:F,3,0)</f>
        <v>5.5383412037525046</v>
      </c>
      <c r="C47" s="90">
        <f t="shared" si="35"/>
        <v>131.86526675601201</v>
      </c>
      <c r="D47" s="90" t="s">
        <v>76</v>
      </c>
      <c r="E47" s="90" t="s">
        <v>77</v>
      </c>
      <c r="F47" s="107">
        <v>904782</v>
      </c>
      <c r="G47" s="107">
        <v>1169716</v>
      </c>
      <c r="H47" s="92" t="s">
        <v>1</v>
      </c>
      <c r="I47" s="93">
        <v>12</v>
      </c>
      <c r="J47" s="93">
        <v>280</v>
      </c>
      <c r="K47" s="94">
        <f t="shared" si="69"/>
        <v>6720</v>
      </c>
      <c r="L47" s="125">
        <v>280</v>
      </c>
      <c r="M47" s="180">
        <f t="shared" si="1"/>
        <v>1</v>
      </c>
      <c r="N47" s="95">
        <f t="shared" si="56"/>
        <v>4.1666666666666664E-2</v>
      </c>
      <c r="O47" s="148">
        <v>85.23</v>
      </c>
      <c r="P47" s="135">
        <f t="shared" si="22"/>
        <v>7.1025</v>
      </c>
      <c r="Q47" s="108">
        <f t="shared" si="3"/>
        <v>10.8</v>
      </c>
      <c r="R47" s="108">
        <v>0.9</v>
      </c>
      <c r="S47" s="122">
        <f t="shared" si="4"/>
        <v>0.24</v>
      </c>
      <c r="T47" s="122">
        <v>0.02</v>
      </c>
      <c r="U47" s="121">
        <f t="shared" si="23"/>
        <v>0.92</v>
      </c>
      <c r="V47" s="36">
        <f>VLOOKUP(F47,'[1]Proposta HNK para Tenda'!$F:$T,15,0)</f>
        <v>8.99</v>
      </c>
      <c r="W47" s="36">
        <f>VLOOKUP(F47,'[1]Proposta HNK para Tenda'!$F:$U,16,0)</f>
        <v>6.99</v>
      </c>
      <c r="X47" s="36"/>
      <c r="Y47" s="98">
        <f t="shared" si="5"/>
        <v>3091.2000000000003</v>
      </c>
      <c r="Z47" s="99">
        <f t="shared" si="6"/>
        <v>23864.400000000001</v>
      </c>
      <c r="AA47" s="100">
        <f t="shared" ref="AA47:AA54" si="70">L47*12*0.35/100</f>
        <v>11.76</v>
      </c>
      <c r="AB47" s="101"/>
      <c r="AC47" s="44">
        <f t="shared" si="7"/>
        <v>0.93051000000000006</v>
      </c>
      <c r="AD47" s="102">
        <f t="shared" si="8"/>
        <v>0.92</v>
      </c>
      <c r="AE47" s="102">
        <f t="shared" si="37"/>
        <v>1.0510000000000019E-2</v>
      </c>
      <c r="AG47" s="175">
        <v>265.86</v>
      </c>
      <c r="AH47" s="176">
        <f t="shared" si="57"/>
        <v>3126.5136000000002</v>
      </c>
      <c r="AI47" s="176">
        <f t="shared" si="58"/>
        <v>0.93051000000000006</v>
      </c>
      <c r="AJ47" s="103"/>
      <c r="AK47" s="103">
        <f t="shared" si="59"/>
        <v>0</v>
      </c>
      <c r="AL47" s="103">
        <f t="shared" si="60"/>
        <v>0</v>
      </c>
      <c r="AM47" s="7">
        <v>0</v>
      </c>
      <c r="AN47" s="138">
        <f t="shared" si="61"/>
        <v>0</v>
      </c>
      <c r="AO47" s="138">
        <f t="shared" si="62"/>
        <v>0</v>
      </c>
      <c r="AP47" s="103">
        <f t="shared" si="15"/>
        <v>3126.5136000000002</v>
      </c>
      <c r="AQ47" s="103">
        <f t="shared" si="16"/>
        <v>0.93051000000000006</v>
      </c>
      <c r="AR47" s="104">
        <f t="shared" si="63"/>
        <v>3091.2000000000003</v>
      </c>
      <c r="AS47" s="104">
        <f t="shared" si="38"/>
        <v>35.313599999999951</v>
      </c>
      <c r="AT47" s="103">
        <f t="shared" si="64"/>
        <v>7.1025</v>
      </c>
      <c r="AU47" s="104">
        <f t="shared" si="65"/>
        <v>6.1825000000000001</v>
      </c>
      <c r="AV47" s="105">
        <f t="shared" si="66"/>
        <v>0.11552217453505008</v>
      </c>
      <c r="AX47" s="150">
        <f t="shared" si="39"/>
        <v>6.99</v>
      </c>
      <c r="AY47" s="151">
        <f t="shared" si="68"/>
        <v>0</v>
      </c>
      <c r="AZ47" s="160">
        <f t="shared" si="26"/>
        <v>6.99</v>
      </c>
      <c r="BA47" s="164"/>
      <c r="BC47" s="86" t="s">
        <v>106</v>
      </c>
      <c r="BD47" s="86" t="s">
        <v>263</v>
      </c>
      <c r="BE47" s="87" t="s">
        <v>264</v>
      </c>
      <c r="BF47" s="87">
        <v>387000650117</v>
      </c>
      <c r="BG47" s="86" t="s">
        <v>265</v>
      </c>
      <c r="BH47" s="86">
        <v>2222</v>
      </c>
      <c r="BI47" s="86" t="s">
        <v>266</v>
      </c>
      <c r="BJ47" s="86">
        <v>13312250</v>
      </c>
      <c r="BK47" s="86" t="s">
        <v>267</v>
      </c>
      <c r="BL47" s="86" t="s">
        <v>108</v>
      </c>
    </row>
    <row r="48" spans="1:64" ht="14.25" customHeight="1" thickBot="1" x14ac:dyDescent="0.25">
      <c r="A48" s="52">
        <f>0.35*12/100</f>
        <v>4.1999999999999996E-2</v>
      </c>
      <c r="B48" s="27">
        <f>VLOOKUP(F48,Planilha3!D:F,3,0)</f>
        <v>24.465582852365287</v>
      </c>
      <c r="C48" s="47">
        <f t="shared" si="35"/>
        <v>582.51387743726877</v>
      </c>
      <c r="D48" s="47" t="s">
        <v>92</v>
      </c>
      <c r="E48" s="47" t="s">
        <v>93</v>
      </c>
      <c r="F48" s="21">
        <v>903795</v>
      </c>
      <c r="G48" s="22">
        <v>1155646</v>
      </c>
      <c r="H48" s="75" t="s">
        <v>94</v>
      </c>
      <c r="I48" s="22">
        <v>12</v>
      </c>
      <c r="J48" s="22">
        <v>286</v>
      </c>
      <c r="K48" s="10">
        <f>J48*24</f>
        <v>6864</v>
      </c>
      <c r="L48" s="125">
        <f>J48*3</f>
        <v>858</v>
      </c>
      <c r="M48" s="179">
        <f t="shared" si="1"/>
        <v>3</v>
      </c>
      <c r="N48" s="84">
        <f t="shared" si="56"/>
        <v>0.125</v>
      </c>
      <c r="O48" s="148">
        <v>28.46</v>
      </c>
      <c r="P48" s="135">
        <f t="shared" si="22"/>
        <v>2.3716666666666666</v>
      </c>
      <c r="Q48" s="13">
        <f t="shared" si="3"/>
        <v>1.6800000000000002</v>
      </c>
      <c r="R48" s="13">
        <v>0.14000000000000001</v>
      </c>
      <c r="S48" s="74">
        <f t="shared" ref="S48:S57" si="71">I48*T48</f>
        <v>0</v>
      </c>
      <c r="T48" s="74">
        <v>0</v>
      </c>
      <c r="U48" s="121">
        <f t="shared" si="23"/>
        <v>0.14000000000000001</v>
      </c>
      <c r="V48" s="36">
        <f>VLOOKUP(F48,'[1]Proposta HNK para Tenda'!$F:$T,15,0)</f>
        <v>2.7900000000000005</v>
      </c>
      <c r="W48" s="36">
        <f>VLOOKUP(F48,'[1]Proposta HNK para Tenda'!$F:$U,16,0)</f>
        <v>2.4900000000000002</v>
      </c>
      <c r="X48" s="36"/>
      <c r="Y48" s="8">
        <f t="shared" si="5"/>
        <v>1441.44</v>
      </c>
      <c r="Z48" s="8">
        <f t="shared" si="6"/>
        <v>24418.68</v>
      </c>
      <c r="AA48" s="76">
        <f t="shared" si="70"/>
        <v>36.036000000000001</v>
      </c>
      <c r="AB48" s="43"/>
      <c r="AC48" s="44">
        <f t="shared" si="7"/>
        <v>0.13548500000000002</v>
      </c>
      <c r="AD48" s="39">
        <f t="shared" si="8"/>
        <v>0.14000000000000001</v>
      </c>
      <c r="AE48" s="39">
        <f t="shared" si="37"/>
        <v>-4.5149999999999912E-3</v>
      </c>
      <c r="AG48" s="175">
        <v>38.71</v>
      </c>
      <c r="AH48" s="175">
        <f t="shared" si="57"/>
        <v>1394.9535600000002</v>
      </c>
      <c r="AI48" s="175">
        <f t="shared" si="58"/>
        <v>0.13548500000000002</v>
      </c>
      <c r="AJ48" s="7"/>
      <c r="AK48" s="7">
        <f t="shared" si="59"/>
        <v>0</v>
      </c>
      <c r="AL48" s="7">
        <f t="shared" si="60"/>
        <v>0</v>
      </c>
      <c r="AM48" s="7">
        <v>0</v>
      </c>
      <c r="AN48" s="137">
        <f t="shared" si="61"/>
        <v>0</v>
      </c>
      <c r="AO48" s="137">
        <f t="shared" si="62"/>
        <v>0</v>
      </c>
      <c r="AP48" s="7">
        <f t="shared" si="15"/>
        <v>1394.9535600000002</v>
      </c>
      <c r="AQ48" s="7">
        <f t="shared" si="16"/>
        <v>0.13548500000000002</v>
      </c>
      <c r="AR48" s="40">
        <f t="shared" si="63"/>
        <v>1441.44</v>
      </c>
      <c r="AS48" s="82">
        <f t="shared" si="38"/>
        <v>-46.486439999999902</v>
      </c>
      <c r="AT48" s="7">
        <f t="shared" si="64"/>
        <v>2.3716666666666666</v>
      </c>
      <c r="AU48" s="40">
        <f t="shared" si="65"/>
        <v>2.2316666666666665</v>
      </c>
      <c r="AV48" s="41">
        <f t="shared" si="66"/>
        <v>0.10374832663989306</v>
      </c>
      <c r="AX48" s="150">
        <f t="shared" si="39"/>
        <v>2.4900000000000002</v>
      </c>
      <c r="AY48" s="151">
        <f t="shared" si="68"/>
        <v>0</v>
      </c>
      <c r="AZ48" s="160">
        <f t="shared" si="26"/>
        <v>2.4900000000000002</v>
      </c>
      <c r="BA48" s="164"/>
      <c r="BC48" s="86" t="s">
        <v>106</v>
      </c>
      <c r="BD48" s="86" t="s">
        <v>263</v>
      </c>
      <c r="BE48" s="87" t="s">
        <v>264</v>
      </c>
      <c r="BF48" s="87">
        <v>387000650117</v>
      </c>
      <c r="BG48" s="86" t="s">
        <v>265</v>
      </c>
      <c r="BH48" s="86">
        <v>2222</v>
      </c>
      <c r="BI48" s="86" t="s">
        <v>266</v>
      </c>
      <c r="BJ48" s="86">
        <v>13312250</v>
      </c>
      <c r="BK48" s="86" t="s">
        <v>267</v>
      </c>
      <c r="BL48" s="86" t="s">
        <v>108</v>
      </c>
    </row>
    <row r="49" spans="1:64 16368:16368" ht="14.25" customHeight="1" thickBot="1" x14ac:dyDescent="0.25">
      <c r="A49" s="52">
        <f>0.35*12/100</f>
        <v>4.1999999999999996E-2</v>
      </c>
      <c r="B49" s="27">
        <f>VLOOKUP(F49,Planilha3!D:F,3,0)</f>
        <v>0.16162499999999996</v>
      </c>
      <c r="C49" s="47">
        <f t="shared" ref="C49" si="72">B49/A49</f>
        <v>3.8482142857142851</v>
      </c>
      <c r="D49" s="47" t="s">
        <v>92</v>
      </c>
      <c r="E49" s="47" t="s">
        <v>93</v>
      </c>
      <c r="F49" s="171">
        <v>905282</v>
      </c>
      <c r="G49" s="167">
        <v>1228747</v>
      </c>
      <c r="H49" s="168" t="s">
        <v>248</v>
      </c>
      <c r="I49" s="167">
        <v>12</v>
      </c>
      <c r="J49" s="167">
        <v>286</v>
      </c>
      <c r="K49" s="169">
        <f>J49*24</f>
        <v>6864</v>
      </c>
      <c r="L49" s="170">
        <f>J49*2</f>
        <v>572</v>
      </c>
      <c r="M49" s="179">
        <f t="shared" ref="M49" si="73">L49/J49</f>
        <v>2</v>
      </c>
      <c r="N49" s="84">
        <f t="shared" ref="N49" si="74">L49/K49</f>
        <v>8.3333333333333329E-2</v>
      </c>
      <c r="O49" s="148">
        <v>28.46</v>
      </c>
      <c r="P49" s="135">
        <f t="shared" ref="P49" si="75">O49/I49</f>
        <v>2.3716666666666666</v>
      </c>
      <c r="Q49" s="13">
        <f t="shared" ref="Q49" si="76">R49*I49</f>
        <v>1.6800000000000002</v>
      </c>
      <c r="R49" s="13">
        <v>0.14000000000000001</v>
      </c>
      <c r="S49" s="74">
        <f t="shared" ref="S49" si="77">I49*T49</f>
        <v>0</v>
      </c>
      <c r="T49" s="74">
        <v>0</v>
      </c>
      <c r="U49" s="121">
        <f t="shared" ref="U49" si="78">SUM(R49,T49)</f>
        <v>0.14000000000000001</v>
      </c>
      <c r="V49" s="36">
        <v>2.7900000000000005</v>
      </c>
      <c r="W49" s="36">
        <v>2.4900000000000002</v>
      </c>
      <c r="X49" s="36"/>
      <c r="Y49" s="8">
        <f t="shared" ref="Y49" si="79">L49*(Q49+S49)</f>
        <v>960.96</v>
      </c>
      <c r="Z49" s="8">
        <f t="shared" ref="Z49" si="80">L49*O49</f>
        <v>16279.12</v>
      </c>
      <c r="AA49" s="76">
        <f t="shared" ref="AA49" si="81">L49*12*0.35/100</f>
        <v>24.023999999999997</v>
      </c>
      <c r="AB49" s="43"/>
      <c r="AC49" s="44">
        <f t="shared" ref="AC49" si="82">SUM(AI49,AL49,AO49)</f>
        <v>0.13548499999999999</v>
      </c>
      <c r="AD49" s="39">
        <f t="shared" ref="AD49" si="83">SUM(R49,T49)</f>
        <v>0.14000000000000001</v>
      </c>
      <c r="AE49" s="39">
        <f t="shared" ref="AE49" si="84">AC49-AD49</f>
        <v>-4.515000000000019E-3</v>
      </c>
      <c r="AG49" s="175">
        <v>38.71</v>
      </c>
      <c r="AH49" s="175">
        <f t="shared" si="57"/>
        <v>929.96903999999995</v>
      </c>
      <c r="AI49" s="175">
        <f t="shared" si="58"/>
        <v>0.13548499999999999</v>
      </c>
      <c r="AJ49" s="7"/>
      <c r="AK49" s="7">
        <f t="shared" si="59"/>
        <v>0</v>
      </c>
      <c r="AL49" s="7">
        <f t="shared" si="60"/>
        <v>0</v>
      </c>
      <c r="AM49" s="7">
        <v>0</v>
      </c>
      <c r="AN49" s="137">
        <f t="shared" si="61"/>
        <v>0</v>
      </c>
      <c r="AO49" s="137">
        <f t="shared" si="62"/>
        <v>0</v>
      </c>
      <c r="AP49" s="7">
        <f t="shared" ref="AP49" si="85">SUM(AH49,AK49,AN49)</f>
        <v>929.96903999999995</v>
      </c>
      <c r="AQ49" s="7">
        <f t="shared" ref="AQ49" si="86">SUM(AI49,AL49,AO49)</f>
        <v>0.13548499999999999</v>
      </c>
      <c r="AR49" s="40">
        <f t="shared" si="63"/>
        <v>960.96</v>
      </c>
      <c r="AS49" s="82">
        <f t="shared" ref="AS49" si="87">AP49-AR49</f>
        <v>-30.990960000000086</v>
      </c>
      <c r="AT49" s="7">
        <f t="shared" si="64"/>
        <v>2.3716666666666666</v>
      </c>
      <c r="AU49" s="40">
        <f t="shared" si="65"/>
        <v>2.2316666666666665</v>
      </c>
      <c r="AV49" s="41">
        <f t="shared" si="66"/>
        <v>0.10374832663989306</v>
      </c>
      <c r="AX49" s="150">
        <f t="shared" si="39"/>
        <v>2.4900000000000002</v>
      </c>
      <c r="AY49" s="151">
        <f t="shared" si="68"/>
        <v>0</v>
      </c>
      <c r="AZ49" s="160">
        <f t="shared" si="26"/>
        <v>2.4900000000000002</v>
      </c>
      <c r="BA49" s="164"/>
      <c r="BC49" s="86" t="s">
        <v>106</v>
      </c>
      <c r="BD49" s="86" t="s">
        <v>263</v>
      </c>
      <c r="BE49" s="87" t="s">
        <v>264</v>
      </c>
      <c r="BF49" s="87">
        <v>387000650117</v>
      </c>
      <c r="BG49" s="86" t="s">
        <v>265</v>
      </c>
      <c r="BH49" s="86">
        <v>2222</v>
      </c>
      <c r="BI49" s="86" t="s">
        <v>266</v>
      </c>
      <c r="BJ49" s="86">
        <v>13312250</v>
      </c>
      <c r="BK49" s="86" t="s">
        <v>267</v>
      </c>
      <c r="BL49" s="86" t="s">
        <v>108</v>
      </c>
    </row>
    <row r="50" spans="1:64 16368:16368" ht="14.25" customHeight="1" thickBot="1" x14ac:dyDescent="0.25">
      <c r="A50" s="52">
        <f t="shared" ref="A50:A56" si="88">0.35*12/100</f>
        <v>4.1999999999999996E-2</v>
      </c>
      <c r="B50" s="27">
        <f>VLOOKUP(F50,Planilha3!D:F,3,0)</f>
        <v>22.603580497172729</v>
      </c>
      <c r="C50" s="47">
        <f t="shared" si="35"/>
        <v>538.18048802792214</v>
      </c>
      <c r="D50" s="47" t="s">
        <v>92</v>
      </c>
      <c r="E50" s="47" t="s">
        <v>93</v>
      </c>
      <c r="F50" s="20">
        <v>903791</v>
      </c>
      <c r="G50" s="20">
        <v>1155674</v>
      </c>
      <c r="H50" s="75" t="s">
        <v>95</v>
      </c>
      <c r="I50" s="22">
        <v>12</v>
      </c>
      <c r="J50" s="22">
        <v>286</v>
      </c>
      <c r="K50" s="10">
        <f t="shared" ref="K50:K54" si="89">J50*24</f>
        <v>6864</v>
      </c>
      <c r="L50" s="125">
        <f t="shared" ref="L50:L52" si="90">J50*3</f>
        <v>858</v>
      </c>
      <c r="M50" s="179">
        <f t="shared" si="1"/>
        <v>3</v>
      </c>
      <c r="N50" s="84">
        <f t="shared" si="56"/>
        <v>0.125</v>
      </c>
      <c r="O50" s="148">
        <v>28.46</v>
      </c>
      <c r="P50" s="135">
        <f t="shared" si="22"/>
        <v>2.3716666666666666</v>
      </c>
      <c r="Q50" s="13">
        <f t="shared" si="3"/>
        <v>1.6800000000000002</v>
      </c>
      <c r="R50" s="13">
        <v>0.14000000000000001</v>
      </c>
      <c r="S50" s="74">
        <f t="shared" si="71"/>
        <v>0</v>
      </c>
      <c r="T50" s="74">
        <v>0</v>
      </c>
      <c r="U50" s="121">
        <f t="shared" si="23"/>
        <v>0.14000000000000001</v>
      </c>
      <c r="V50" s="36">
        <f>VLOOKUP(F50,'[1]Proposta HNK para Tenda'!$F:$T,15,0)</f>
        <v>2.7900000000000005</v>
      </c>
      <c r="W50" s="36">
        <f>VLOOKUP(F50,'[1]Proposta HNK para Tenda'!$F:$U,16,0)</f>
        <v>2.4900000000000002</v>
      </c>
      <c r="X50" s="36"/>
      <c r="Y50" s="8">
        <f t="shared" si="5"/>
        <v>1441.44</v>
      </c>
      <c r="Z50" s="8">
        <f t="shared" si="6"/>
        <v>24418.68</v>
      </c>
      <c r="AA50" s="76">
        <f t="shared" si="70"/>
        <v>36.036000000000001</v>
      </c>
      <c r="AB50" s="43"/>
      <c r="AC50" s="44">
        <f t="shared" si="7"/>
        <v>0.13548500000000002</v>
      </c>
      <c r="AD50" s="39">
        <f t="shared" si="8"/>
        <v>0.14000000000000001</v>
      </c>
      <c r="AE50" s="39">
        <f t="shared" si="37"/>
        <v>-4.5149999999999912E-3</v>
      </c>
      <c r="AG50" s="175">
        <v>38.71</v>
      </c>
      <c r="AH50" s="175">
        <f t="shared" si="57"/>
        <v>1394.9535600000002</v>
      </c>
      <c r="AI50" s="175">
        <f t="shared" si="58"/>
        <v>0.13548500000000002</v>
      </c>
      <c r="AJ50" s="7"/>
      <c r="AK50" s="7">
        <f t="shared" si="59"/>
        <v>0</v>
      </c>
      <c r="AL50" s="7">
        <f t="shared" si="60"/>
        <v>0</v>
      </c>
      <c r="AM50" s="7">
        <v>0</v>
      </c>
      <c r="AN50" s="137">
        <f t="shared" si="61"/>
        <v>0</v>
      </c>
      <c r="AO50" s="137">
        <f t="shared" si="62"/>
        <v>0</v>
      </c>
      <c r="AP50" s="7">
        <f t="shared" si="15"/>
        <v>1394.9535600000002</v>
      </c>
      <c r="AQ50" s="7">
        <f t="shared" si="16"/>
        <v>0.13548500000000002</v>
      </c>
      <c r="AR50" s="40">
        <f t="shared" si="63"/>
        <v>1441.44</v>
      </c>
      <c r="AS50" s="82">
        <f t="shared" si="38"/>
        <v>-46.486439999999902</v>
      </c>
      <c r="AT50" s="7">
        <f t="shared" si="64"/>
        <v>2.3716666666666666</v>
      </c>
      <c r="AU50" s="40">
        <f t="shared" si="65"/>
        <v>2.2316666666666665</v>
      </c>
      <c r="AV50" s="41">
        <f t="shared" si="66"/>
        <v>0.10374832663989306</v>
      </c>
      <c r="AX50" s="150">
        <f t="shared" si="39"/>
        <v>2.4900000000000002</v>
      </c>
      <c r="AY50" s="151">
        <f t="shared" si="68"/>
        <v>0</v>
      </c>
      <c r="AZ50" s="160">
        <f t="shared" si="26"/>
        <v>2.4900000000000002</v>
      </c>
      <c r="BA50" s="164"/>
      <c r="BC50" s="86" t="s">
        <v>106</v>
      </c>
      <c r="BD50" s="86" t="s">
        <v>263</v>
      </c>
      <c r="BE50" s="87" t="s">
        <v>264</v>
      </c>
      <c r="BF50" s="87">
        <v>387000650117</v>
      </c>
      <c r="BG50" s="86" t="s">
        <v>265</v>
      </c>
      <c r="BH50" s="86">
        <v>2222</v>
      </c>
      <c r="BI50" s="86" t="s">
        <v>266</v>
      </c>
      <c r="BJ50" s="86">
        <v>13312250</v>
      </c>
      <c r="BK50" s="86" t="s">
        <v>267</v>
      </c>
      <c r="BL50" s="86" t="s">
        <v>108</v>
      </c>
    </row>
    <row r="51" spans="1:64 16368:16368" ht="14.25" customHeight="1" thickBot="1" x14ac:dyDescent="0.25">
      <c r="A51" s="52">
        <f>0.35*12/100</f>
        <v>4.1999999999999996E-2</v>
      </c>
      <c r="B51" s="27">
        <f>VLOOKUP(F51,Planilha3!D:F,3,0)</f>
        <v>3.5637499999999998</v>
      </c>
      <c r="C51" s="47">
        <f t="shared" ref="C51" si="91">B51/A51</f>
        <v>84.851190476190482</v>
      </c>
      <c r="D51" s="47" t="s">
        <v>92</v>
      </c>
      <c r="E51" s="47" t="s">
        <v>93</v>
      </c>
      <c r="F51" s="171">
        <v>905283</v>
      </c>
      <c r="G51" s="167">
        <v>1228749</v>
      </c>
      <c r="H51" s="168" t="s">
        <v>249</v>
      </c>
      <c r="I51" s="167">
        <v>12</v>
      </c>
      <c r="J51" s="167">
        <v>286</v>
      </c>
      <c r="K51" s="169">
        <f>J51*24</f>
        <v>6864</v>
      </c>
      <c r="L51" s="170">
        <f>J51*2</f>
        <v>572</v>
      </c>
      <c r="M51" s="179">
        <f t="shared" ref="M51" si="92">L51/J51</f>
        <v>2</v>
      </c>
      <c r="N51" s="84">
        <f t="shared" ref="N51" si="93">L51/K51</f>
        <v>8.3333333333333329E-2</v>
      </c>
      <c r="O51" s="148">
        <v>28.46</v>
      </c>
      <c r="P51" s="135">
        <f t="shared" ref="P51" si="94">O51/I51</f>
        <v>2.3716666666666666</v>
      </c>
      <c r="Q51" s="13">
        <f t="shared" ref="Q51" si="95">R51*I51</f>
        <v>1.6800000000000002</v>
      </c>
      <c r="R51" s="13">
        <v>0.14000000000000001</v>
      </c>
      <c r="S51" s="74">
        <f t="shared" ref="S51" si="96">I51*T51</f>
        <v>0</v>
      </c>
      <c r="T51" s="74">
        <v>0</v>
      </c>
      <c r="U51" s="121">
        <f t="shared" ref="U51" si="97">SUM(R51,T51)</f>
        <v>0.14000000000000001</v>
      </c>
      <c r="V51" s="36">
        <v>2.7900000000000005</v>
      </c>
      <c r="W51" s="36">
        <v>2.4900000000000002</v>
      </c>
      <c r="X51" s="36"/>
      <c r="Y51" s="8">
        <f t="shared" ref="Y51" si="98">L51*(Q51+S51)</f>
        <v>960.96</v>
      </c>
      <c r="Z51" s="8">
        <f t="shared" ref="Z51" si="99">L51*O51</f>
        <v>16279.12</v>
      </c>
      <c r="AA51" s="76">
        <f t="shared" ref="AA51" si="100">L51*12*0.35/100</f>
        <v>24.023999999999997</v>
      </c>
      <c r="AB51" s="43"/>
      <c r="AC51" s="44">
        <f t="shared" ref="AC51" si="101">SUM(AI51,AL51,AO51)</f>
        <v>0.13548499999999999</v>
      </c>
      <c r="AD51" s="39">
        <f t="shared" ref="AD51" si="102">SUM(R51,T51)</f>
        <v>0.14000000000000001</v>
      </c>
      <c r="AE51" s="39">
        <f t="shared" ref="AE51" si="103">AC51-AD51</f>
        <v>-4.515000000000019E-3</v>
      </c>
      <c r="AG51" s="175">
        <v>38.71</v>
      </c>
      <c r="AH51" s="175">
        <f t="shared" si="57"/>
        <v>929.96903999999995</v>
      </c>
      <c r="AI51" s="175">
        <f t="shared" si="58"/>
        <v>0.13548499999999999</v>
      </c>
      <c r="AJ51" s="7"/>
      <c r="AK51" s="7">
        <f t="shared" si="59"/>
        <v>0</v>
      </c>
      <c r="AL51" s="7">
        <f t="shared" si="60"/>
        <v>0</v>
      </c>
      <c r="AM51" s="7">
        <v>0</v>
      </c>
      <c r="AN51" s="137">
        <f t="shared" si="61"/>
        <v>0</v>
      </c>
      <c r="AO51" s="137">
        <f t="shared" si="62"/>
        <v>0</v>
      </c>
      <c r="AP51" s="7">
        <f t="shared" ref="AP51" si="104">SUM(AH51,AK51,AN51)</f>
        <v>929.96903999999995</v>
      </c>
      <c r="AQ51" s="7">
        <f t="shared" ref="AQ51" si="105">SUM(AI51,AL51,AO51)</f>
        <v>0.13548499999999999</v>
      </c>
      <c r="AR51" s="40">
        <f t="shared" si="63"/>
        <v>960.96</v>
      </c>
      <c r="AS51" s="82">
        <f t="shared" ref="AS51" si="106">AP51-AR51</f>
        <v>-30.990960000000086</v>
      </c>
      <c r="AT51" s="7">
        <f t="shared" si="64"/>
        <v>2.3716666666666666</v>
      </c>
      <c r="AU51" s="40">
        <f t="shared" si="65"/>
        <v>2.2316666666666665</v>
      </c>
      <c r="AV51" s="41">
        <f t="shared" si="66"/>
        <v>0.10374832663989306</v>
      </c>
      <c r="AX51" s="150">
        <f t="shared" si="39"/>
        <v>2.4900000000000002</v>
      </c>
      <c r="AY51" s="151">
        <f t="shared" si="68"/>
        <v>0</v>
      </c>
      <c r="AZ51" s="160">
        <f t="shared" si="26"/>
        <v>2.4900000000000002</v>
      </c>
      <c r="BA51" s="164"/>
      <c r="BC51" s="86" t="s">
        <v>106</v>
      </c>
      <c r="BD51" s="86" t="s">
        <v>263</v>
      </c>
      <c r="BE51" s="87" t="s">
        <v>264</v>
      </c>
      <c r="BF51" s="87">
        <v>387000650117</v>
      </c>
      <c r="BG51" s="86" t="s">
        <v>265</v>
      </c>
      <c r="BH51" s="86">
        <v>2222</v>
      </c>
      <c r="BI51" s="86" t="s">
        <v>266</v>
      </c>
      <c r="BJ51" s="86">
        <v>13312250</v>
      </c>
      <c r="BK51" s="86" t="s">
        <v>267</v>
      </c>
      <c r="BL51" s="86" t="s">
        <v>108</v>
      </c>
    </row>
    <row r="52" spans="1:64 16368:16368" ht="14.25" customHeight="1" thickBot="1" x14ac:dyDescent="0.25">
      <c r="A52" s="52">
        <f t="shared" si="88"/>
        <v>4.1999999999999996E-2</v>
      </c>
      <c r="B52" s="27">
        <f>VLOOKUP(F52,Planilha3!D:F,3,0)</f>
        <v>14.755466793040423</v>
      </c>
      <c r="C52" s="47">
        <f t="shared" si="35"/>
        <v>351.32063792953392</v>
      </c>
      <c r="D52" s="47" t="s">
        <v>92</v>
      </c>
      <c r="E52" s="47" t="s">
        <v>93</v>
      </c>
      <c r="F52" s="21">
        <v>903793</v>
      </c>
      <c r="G52" s="20">
        <v>1155658</v>
      </c>
      <c r="H52" s="75" t="s">
        <v>96</v>
      </c>
      <c r="I52" s="22">
        <v>12</v>
      </c>
      <c r="J52" s="22">
        <v>286</v>
      </c>
      <c r="K52" s="10">
        <f t="shared" si="89"/>
        <v>6864</v>
      </c>
      <c r="L52" s="125">
        <f t="shared" si="90"/>
        <v>858</v>
      </c>
      <c r="M52" s="179">
        <f t="shared" si="1"/>
        <v>3</v>
      </c>
      <c r="N52" s="84">
        <f t="shared" si="56"/>
        <v>0.125</v>
      </c>
      <c r="O52" s="148">
        <v>28.46</v>
      </c>
      <c r="P52" s="135">
        <f t="shared" si="22"/>
        <v>2.3716666666666666</v>
      </c>
      <c r="Q52" s="13">
        <f t="shared" si="3"/>
        <v>1.6800000000000002</v>
      </c>
      <c r="R52" s="13">
        <v>0.14000000000000001</v>
      </c>
      <c r="S52" s="74">
        <f t="shared" si="71"/>
        <v>0</v>
      </c>
      <c r="T52" s="74">
        <v>0</v>
      </c>
      <c r="U52" s="121">
        <f t="shared" si="23"/>
        <v>0.14000000000000001</v>
      </c>
      <c r="V52" s="36">
        <f>VLOOKUP(F52,'[1]Proposta HNK para Tenda'!$F:$T,15,0)</f>
        <v>2.7900000000000005</v>
      </c>
      <c r="W52" s="36">
        <f>VLOOKUP(F52,'[1]Proposta HNK para Tenda'!$F:$U,16,0)</f>
        <v>2.4900000000000002</v>
      </c>
      <c r="X52" s="36"/>
      <c r="Y52" s="8">
        <f t="shared" si="5"/>
        <v>1441.44</v>
      </c>
      <c r="Z52" s="8">
        <f t="shared" si="6"/>
        <v>24418.68</v>
      </c>
      <c r="AA52" s="76">
        <f t="shared" si="70"/>
        <v>36.036000000000001</v>
      </c>
      <c r="AB52" s="43"/>
      <c r="AC52" s="44">
        <f t="shared" si="7"/>
        <v>0.13548500000000002</v>
      </c>
      <c r="AD52" s="39">
        <f t="shared" si="8"/>
        <v>0.14000000000000001</v>
      </c>
      <c r="AE52" s="39">
        <f t="shared" si="37"/>
        <v>-4.5149999999999912E-3</v>
      </c>
      <c r="AG52" s="175">
        <v>38.71</v>
      </c>
      <c r="AH52" s="175">
        <f t="shared" si="57"/>
        <v>1394.9535600000002</v>
      </c>
      <c r="AI52" s="175">
        <f t="shared" si="58"/>
        <v>0.13548500000000002</v>
      </c>
      <c r="AJ52" s="7"/>
      <c r="AK52" s="7">
        <f t="shared" si="59"/>
        <v>0</v>
      </c>
      <c r="AL52" s="7">
        <f t="shared" si="60"/>
        <v>0</v>
      </c>
      <c r="AM52" s="7">
        <v>0</v>
      </c>
      <c r="AN52" s="137">
        <f t="shared" si="61"/>
        <v>0</v>
      </c>
      <c r="AO52" s="137">
        <f t="shared" si="62"/>
        <v>0</v>
      </c>
      <c r="AP52" s="7">
        <f t="shared" si="15"/>
        <v>1394.9535600000002</v>
      </c>
      <c r="AQ52" s="7">
        <f t="shared" si="16"/>
        <v>0.13548500000000002</v>
      </c>
      <c r="AR52" s="40">
        <f t="shared" si="63"/>
        <v>1441.44</v>
      </c>
      <c r="AS52" s="82">
        <f t="shared" si="38"/>
        <v>-46.486439999999902</v>
      </c>
      <c r="AT52" s="7">
        <f t="shared" si="64"/>
        <v>2.3716666666666666</v>
      </c>
      <c r="AU52" s="40">
        <f t="shared" si="65"/>
        <v>2.2316666666666665</v>
      </c>
      <c r="AV52" s="41">
        <f t="shared" si="66"/>
        <v>0.10374832663989306</v>
      </c>
      <c r="AX52" s="150">
        <f t="shared" si="39"/>
        <v>2.4900000000000002</v>
      </c>
      <c r="AY52" s="151">
        <f t="shared" si="68"/>
        <v>0</v>
      </c>
      <c r="AZ52" s="160">
        <f t="shared" si="26"/>
        <v>2.4900000000000002</v>
      </c>
      <c r="BA52" s="164"/>
      <c r="BC52" s="86" t="s">
        <v>106</v>
      </c>
      <c r="BD52" s="86" t="s">
        <v>263</v>
      </c>
      <c r="BE52" s="87" t="s">
        <v>264</v>
      </c>
      <c r="BF52" s="87">
        <v>387000650117</v>
      </c>
      <c r="BG52" s="86" t="s">
        <v>265</v>
      </c>
      <c r="BH52" s="86">
        <v>2222</v>
      </c>
      <c r="BI52" s="86" t="s">
        <v>266</v>
      </c>
      <c r="BJ52" s="86">
        <v>13312250</v>
      </c>
      <c r="BK52" s="86" t="s">
        <v>267</v>
      </c>
      <c r="BL52" s="86" t="s">
        <v>108</v>
      </c>
    </row>
    <row r="53" spans="1:64 16368:16368" ht="14.25" customHeight="1" thickBot="1" x14ac:dyDescent="0.25">
      <c r="A53" s="52">
        <f t="shared" si="88"/>
        <v>4.1999999999999996E-2</v>
      </c>
      <c r="B53" s="27">
        <f>VLOOKUP(F53,Planilha3!D:F,3,0)</f>
        <v>38.107262798581495</v>
      </c>
      <c r="C53" s="47">
        <f t="shared" si="35"/>
        <v>907.31578091860706</v>
      </c>
      <c r="D53" s="47" t="s">
        <v>92</v>
      </c>
      <c r="E53" s="47" t="s">
        <v>97</v>
      </c>
      <c r="F53" s="22">
        <v>903797</v>
      </c>
      <c r="G53" s="20">
        <v>1155678</v>
      </c>
      <c r="H53" s="75" t="s">
        <v>98</v>
      </c>
      <c r="I53" s="22">
        <v>12</v>
      </c>
      <c r="J53" s="22">
        <v>286</v>
      </c>
      <c r="K53" s="10">
        <f t="shared" si="89"/>
        <v>6864</v>
      </c>
      <c r="L53" s="125">
        <f>J53*5</f>
        <v>1430</v>
      </c>
      <c r="M53" s="179">
        <f t="shared" si="1"/>
        <v>5</v>
      </c>
      <c r="N53" s="84">
        <f t="shared" si="56"/>
        <v>0.20833333333333334</v>
      </c>
      <c r="O53" s="148">
        <v>31.52</v>
      </c>
      <c r="P53" s="135">
        <f t="shared" si="22"/>
        <v>2.6266666666666665</v>
      </c>
      <c r="Q53" s="13">
        <f t="shared" si="3"/>
        <v>1.6800000000000002</v>
      </c>
      <c r="R53" s="13">
        <v>0.14000000000000001</v>
      </c>
      <c r="S53" s="74">
        <f t="shared" si="71"/>
        <v>0</v>
      </c>
      <c r="T53" s="74">
        <v>0</v>
      </c>
      <c r="U53" s="121">
        <f t="shared" si="23"/>
        <v>0.14000000000000001</v>
      </c>
      <c r="V53" s="36">
        <f>VLOOKUP(F53,'[1]Proposta HNK para Tenda'!$F:$T,15,0)</f>
        <v>3.0900000000000003</v>
      </c>
      <c r="W53" s="36">
        <f>VLOOKUP(F53,'[1]Proposta HNK para Tenda'!$F:$U,16,0)</f>
        <v>2.7900000000000005</v>
      </c>
      <c r="X53" s="36"/>
      <c r="Y53" s="8">
        <f t="shared" si="5"/>
        <v>2402.4</v>
      </c>
      <c r="Z53" s="8">
        <f t="shared" si="6"/>
        <v>45073.599999999999</v>
      </c>
      <c r="AA53" s="76">
        <f t="shared" si="70"/>
        <v>60.06</v>
      </c>
      <c r="AB53" s="43"/>
      <c r="AC53" s="44">
        <f t="shared" si="7"/>
        <v>0.13548500000000002</v>
      </c>
      <c r="AD53" s="39">
        <f t="shared" si="8"/>
        <v>0.14000000000000001</v>
      </c>
      <c r="AE53" s="39">
        <f t="shared" si="37"/>
        <v>-4.5149999999999912E-3</v>
      </c>
      <c r="AG53" s="175">
        <v>38.71</v>
      </c>
      <c r="AH53" s="175">
        <f t="shared" si="57"/>
        <v>2324.9226000000003</v>
      </c>
      <c r="AI53" s="175">
        <f t="shared" si="58"/>
        <v>0.13548500000000002</v>
      </c>
      <c r="AJ53" s="7"/>
      <c r="AK53" s="7">
        <f t="shared" si="59"/>
        <v>0</v>
      </c>
      <c r="AL53" s="7">
        <f t="shared" si="60"/>
        <v>0</v>
      </c>
      <c r="AM53" s="7">
        <v>0</v>
      </c>
      <c r="AN53" s="7">
        <f t="shared" si="61"/>
        <v>0</v>
      </c>
      <c r="AO53" s="7">
        <f t="shared" si="62"/>
        <v>0</v>
      </c>
      <c r="AP53" s="7">
        <f t="shared" si="15"/>
        <v>2324.9226000000003</v>
      </c>
      <c r="AQ53" s="7">
        <f t="shared" si="16"/>
        <v>0.13548500000000002</v>
      </c>
      <c r="AR53" s="40">
        <f t="shared" si="63"/>
        <v>2402.4</v>
      </c>
      <c r="AS53" s="82">
        <f t="shared" si="38"/>
        <v>-77.477399999999761</v>
      </c>
      <c r="AT53" s="7">
        <f t="shared" si="64"/>
        <v>2.6266666666666665</v>
      </c>
      <c r="AU53" s="40">
        <f t="shared" si="65"/>
        <v>2.4866666666666664</v>
      </c>
      <c r="AV53" s="41">
        <f t="shared" si="66"/>
        <v>0.10872162485065737</v>
      </c>
      <c r="AX53" s="150">
        <f t="shared" si="39"/>
        <v>2.7900000000000005</v>
      </c>
      <c r="AY53" s="151">
        <f t="shared" si="68"/>
        <v>0</v>
      </c>
      <c r="AZ53" s="160">
        <f t="shared" si="26"/>
        <v>2.7900000000000005</v>
      </c>
      <c r="BA53" s="164"/>
      <c r="BC53" s="86" t="s">
        <v>106</v>
      </c>
      <c r="BD53" s="86" t="s">
        <v>263</v>
      </c>
      <c r="BE53" s="87" t="s">
        <v>264</v>
      </c>
      <c r="BF53" s="87">
        <v>387000650117</v>
      </c>
      <c r="BG53" s="86" t="s">
        <v>265</v>
      </c>
      <c r="BH53" s="86">
        <v>2222</v>
      </c>
      <c r="BI53" s="86" t="s">
        <v>266</v>
      </c>
      <c r="BJ53" s="86">
        <v>13312250</v>
      </c>
      <c r="BK53" s="86" t="s">
        <v>267</v>
      </c>
      <c r="BL53" s="86" t="s">
        <v>108</v>
      </c>
    </row>
    <row r="54" spans="1:64 16368:16368" ht="14.25" customHeight="1" thickBot="1" x14ac:dyDescent="0.25">
      <c r="A54" s="52">
        <f t="shared" si="88"/>
        <v>4.1999999999999996E-2</v>
      </c>
      <c r="B54" s="27">
        <f>VLOOKUP(F54,Planilha3!D:F,3,0)</f>
        <v>27.361385267665607</v>
      </c>
      <c r="C54" s="47">
        <f t="shared" si="35"/>
        <v>651.46155399203838</v>
      </c>
      <c r="D54" s="47" t="s">
        <v>92</v>
      </c>
      <c r="E54" s="47" t="s">
        <v>97</v>
      </c>
      <c r="F54" s="22">
        <v>904496</v>
      </c>
      <c r="G54" s="77">
        <v>1155679</v>
      </c>
      <c r="H54" s="78" t="s">
        <v>99</v>
      </c>
      <c r="I54" s="79">
        <v>12</v>
      </c>
      <c r="J54" s="79">
        <v>286</v>
      </c>
      <c r="K54" s="80">
        <f t="shared" si="89"/>
        <v>6864</v>
      </c>
      <c r="L54" s="125">
        <f>J54*3</f>
        <v>858</v>
      </c>
      <c r="M54" s="181">
        <f t="shared" si="1"/>
        <v>3</v>
      </c>
      <c r="N54" s="85">
        <f t="shared" si="56"/>
        <v>0.125</v>
      </c>
      <c r="O54" s="148">
        <v>31.52</v>
      </c>
      <c r="P54" s="135">
        <f t="shared" si="22"/>
        <v>2.6266666666666665</v>
      </c>
      <c r="Q54" s="13">
        <f t="shared" si="3"/>
        <v>1.6800000000000002</v>
      </c>
      <c r="R54" s="13">
        <v>0.14000000000000001</v>
      </c>
      <c r="S54" s="74">
        <f t="shared" si="71"/>
        <v>0</v>
      </c>
      <c r="T54" s="74">
        <v>0</v>
      </c>
      <c r="U54" s="121">
        <f t="shared" si="23"/>
        <v>0.14000000000000001</v>
      </c>
      <c r="V54" s="36">
        <v>3.0900000000000003</v>
      </c>
      <c r="W54" s="36">
        <v>2.7900000000000005</v>
      </c>
      <c r="X54" s="36"/>
      <c r="Y54" s="8">
        <f t="shared" si="5"/>
        <v>1441.44</v>
      </c>
      <c r="Z54" s="8">
        <f t="shared" si="6"/>
        <v>27044.16</v>
      </c>
      <c r="AA54" s="76">
        <f t="shared" si="70"/>
        <v>36.036000000000001</v>
      </c>
      <c r="AB54" s="43"/>
      <c r="AC54" s="44">
        <f t="shared" si="7"/>
        <v>0.13548500000000002</v>
      </c>
      <c r="AD54" s="39">
        <f t="shared" si="8"/>
        <v>0.14000000000000001</v>
      </c>
      <c r="AE54" s="39">
        <f t="shared" si="37"/>
        <v>-4.5149999999999912E-3</v>
      </c>
      <c r="AG54" s="175">
        <v>38.71</v>
      </c>
      <c r="AH54" s="175">
        <f t="shared" si="57"/>
        <v>1394.9535600000002</v>
      </c>
      <c r="AI54" s="175">
        <f t="shared" si="58"/>
        <v>0.13548500000000002</v>
      </c>
      <c r="AJ54" s="7"/>
      <c r="AK54" s="7">
        <f t="shared" si="59"/>
        <v>0</v>
      </c>
      <c r="AL54" s="7">
        <f t="shared" si="60"/>
        <v>0</v>
      </c>
      <c r="AM54" s="7">
        <v>0</v>
      </c>
      <c r="AN54" s="7">
        <f t="shared" si="61"/>
        <v>0</v>
      </c>
      <c r="AO54" s="7">
        <f t="shared" si="62"/>
        <v>0</v>
      </c>
      <c r="AP54" s="7">
        <f t="shared" si="15"/>
        <v>1394.9535600000002</v>
      </c>
      <c r="AQ54" s="7">
        <f t="shared" si="16"/>
        <v>0.13548500000000002</v>
      </c>
      <c r="AR54" s="40">
        <f t="shared" si="63"/>
        <v>1441.44</v>
      </c>
      <c r="AS54" s="82">
        <f t="shared" si="38"/>
        <v>-46.486439999999902</v>
      </c>
      <c r="AT54" s="7">
        <f t="shared" si="64"/>
        <v>2.6266666666666665</v>
      </c>
      <c r="AU54" s="40">
        <f t="shared" si="65"/>
        <v>2.4866666666666664</v>
      </c>
      <c r="AV54" s="41">
        <f t="shared" si="66"/>
        <v>0.10872162485065737</v>
      </c>
      <c r="AX54" s="150">
        <f t="shared" si="39"/>
        <v>2.7900000000000005</v>
      </c>
      <c r="AY54" s="151">
        <f t="shared" si="68"/>
        <v>0</v>
      </c>
      <c r="AZ54" s="160">
        <f t="shared" si="26"/>
        <v>2.7900000000000005</v>
      </c>
      <c r="BA54" s="164"/>
      <c r="BC54" s="86" t="s">
        <v>106</v>
      </c>
      <c r="BD54" s="86" t="s">
        <v>263</v>
      </c>
      <c r="BE54" s="87" t="s">
        <v>264</v>
      </c>
      <c r="BF54" s="87">
        <v>387000650117</v>
      </c>
      <c r="BG54" s="86" t="s">
        <v>265</v>
      </c>
      <c r="BH54" s="86">
        <v>2222</v>
      </c>
      <c r="BI54" s="86" t="s">
        <v>266</v>
      </c>
      <c r="BJ54" s="86">
        <v>13312250</v>
      </c>
      <c r="BK54" s="86" t="s">
        <v>267</v>
      </c>
      <c r="BL54" s="86" t="s">
        <v>108</v>
      </c>
    </row>
    <row r="55" spans="1:64 16368:16368" ht="14.25" customHeight="1" thickBot="1" x14ac:dyDescent="0.25">
      <c r="A55" s="52">
        <f>0.355*24/100</f>
        <v>8.5199999999999998E-2</v>
      </c>
      <c r="B55" s="27">
        <f>VLOOKUP(F55,Planilha3!D:F,3,0)</f>
        <v>335.37163276332245</v>
      </c>
      <c r="C55" s="47">
        <f t="shared" si="35"/>
        <v>3936.2867695225641</v>
      </c>
      <c r="D55" s="47" t="s">
        <v>92</v>
      </c>
      <c r="E55" s="47" t="s">
        <v>100</v>
      </c>
      <c r="F55" s="20">
        <v>900525</v>
      </c>
      <c r="G55" s="22">
        <v>90725</v>
      </c>
      <c r="H55" s="75" t="s">
        <v>101</v>
      </c>
      <c r="I55" s="22">
        <v>12</v>
      </c>
      <c r="J55" s="22">
        <v>175</v>
      </c>
      <c r="K55" s="10">
        <f>J55*24</f>
        <v>4200</v>
      </c>
      <c r="L55" s="125">
        <f>K55*1</f>
        <v>4200</v>
      </c>
      <c r="M55" s="179">
        <f t="shared" si="1"/>
        <v>24</v>
      </c>
      <c r="N55" s="84">
        <f t="shared" si="56"/>
        <v>1</v>
      </c>
      <c r="O55" s="148">
        <v>34.58</v>
      </c>
      <c r="P55" s="135">
        <f t="shared" si="22"/>
        <v>2.8816666666666664</v>
      </c>
      <c r="Q55" s="9">
        <f t="shared" si="3"/>
        <v>0</v>
      </c>
      <c r="R55" s="9">
        <v>0</v>
      </c>
      <c r="S55" s="29">
        <f t="shared" si="71"/>
        <v>0</v>
      </c>
      <c r="T55" s="29">
        <v>0</v>
      </c>
      <c r="U55" s="121">
        <f t="shared" si="23"/>
        <v>0</v>
      </c>
      <c r="V55" s="36">
        <f>VLOOKUP(F55,'[1]Proposta HNK para Tenda'!$F:$T,15,0)</f>
        <v>3.3900000000000006</v>
      </c>
      <c r="W55" s="36">
        <f>VLOOKUP(F55,'[1]Proposta HNK para Tenda'!$F:$U,16,0)</f>
        <v>3.3900000000000006</v>
      </c>
      <c r="X55" s="36"/>
      <c r="Y55" s="8">
        <f t="shared" si="5"/>
        <v>0</v>
      </c>
      <c r="Z55" s="8">
        <f t="shared" si="6"/>
        <v>145236</v>
      </c>
      <c r="AA55" s="76">
        <f>L55*24*0.355/100</f>
        <v>357.84</v>
      </c>
      <c r="AB55" s="43"/>
      <c r="AC55" s="44">
        <f t="shared" si="7"/>
        <v>0</v>
      </c>
      <c r="AD55" s="39">
        <f t="shared" si="8"/>
        <v>0</v>
      </c>
      <c r="AE55" s="39">
        <f t="shared" si="37"/>
        <v>0</v>
      </c>
      <c r="AG55" s="137">
        <v>0</v>
      </c>
      <c r="AH55" s="137">
        <f t="shared" si="57"/>
        <v>0</v>
      </c>
      <c r="AI55" s="137">
        <f t="shared" si="58"/>
        <v>0</v>
      </c>
      <c r="AJ55" s="7"/>
      <c r="AK55" s="7">
        <f t="shared" si="59"/>
        <v>0</v>
      </c>
      <c r="AL55" s="7">
        <f t="shared" si="60"/>
        <v>0</v>
      </c>
      <c r="AM55" s="7">
        <v>0</v>
      </c>
      <c r="AN55" s="7">
        <f t="shared" si="61"/>
        <v>0</v>
      </c>
      <c r="AO55" s="7">
        <f t="shared" si="62"/>
        <v>0</v>
      </c>
      <c r="AP55" s="7">
        <f t="shared" si="15"/>
        <v>0</v>
      </c>
      <c r="AQ55" s="7">
        <f t="shared" si="16"/>
        <v>0</v>
      </c>
      <c r="AR55" s="40">
        <f t="shared" si="63"/>
        <v>0</v>
      </c>
      <c r="AS55" s="40">
        <f t="shared" si="38"/>
        <v>0</v>
      </c>
      <c r="AT55" s="7">
        <f t="shared" si="64"/>
        <v>2.8816666666666664</v>
      </c>
      <c r="AU55" s="40">
        <f t="shared" si="65"/>
        <v>2.8816666666666664</v>
      </c>
      <c r="AV55" s="41">
        <f t="shared" si="66"/>
        <v>0.14995083579154397</v>
      </c>
      <c r="AX55" s="150">
        <f t="shared" si="39"/>
        <v>3.3900000000000006</v>
      </c>
      <c r="AY55" s="151">
        <f t="shared" si="68"/>
        <v>0</v>
      </c>
      <c r="AZ55" s="160">
        <f t="shared" si="26"/>
        <v>3.3900000000000006</v>
      </c>
      <c r="BA55" s="164"/>
      <c r="BC55" s="86" t="s">
        <v>106</v>
      </c>
      <c r="BD55" s="86" t="s">
        <v>263</v>
      </c>
      <c r="BE55" s="87" t="s">
        <v>264</v>
      </c>
      <c r="BF55" s="87">
        <v>387000650117</v>
      </c>
      <c r="BG55" s="86" t="s">
        <v>265</v>
      </c>
      <c r="BH55" s="86">
        <v>2222</v>
      </c>
      <c r="BI55" s="86" t="s">
        <v>266</v>
      </c>
      <c r="BJ55" s="86">
        <v>13312250</v>
      </c>
      <c r="BK55" s="86" t="s">
        <v>267</v>
      </c>
      <c r="BL55" s="86" t="s">
        <v>108</v>
      </c>
    </row>
    <row r="56" spans="1:64 16368:16368" ht="14.25" customHeight="1" thickBot="1" x14ac:dyDescent="0.25">
      <c r="A56" s="52">
        <f t="shared" si="88"/>
        <v>4.1999999999999996E-2</v>
      </c>
      <c r="B56" s="27">
        <f>VLOOKUP(F56,Planilha3!D:F,3,0)</f>
        <v>791.9711487586884</v>
      </c>
      <c r="C56" s="47">
        <f t="shared" si="35"/>
        <v>18856.455922825917</v>
      </c>
      <c r="D56" s="47" t="s">
        <v>92</v>
      </c>
      <c r="E56" s="47" t="s">
        <v>100</v>
      </c>
      <c r="F56" s="20">
        <v>902321</v>
      </c>
      <c r="G56" s="21">
        <v>1015460</v>
      </c>
      <c r="H56" s="75" t="s">
        <v>102</v>
      </c>
      <c r="I56" s="22">
        <v>12</v>
      </c>
      <c r="J56" s="22">
        <v>286</v>
      </c>
      <c r="K56" s="10">
        <f>J56*24</f>
        <v>6864</v>
      </c>
      <c r="L56" s="125">
        <f>K56*3</f>
        <v>20592</v>
      </c>
      <c r="M56" s="179">
        <f t="shared" si="1"/>
        <v>72</v>
      </c>
      <c r="N56" s="84">
        <f t="shared" si="56"/>
        <v>3</v>
      </c>
      <c r="O56" s="148">
        <v>29.48</v>
      </c>
      <c r="P56" s="135">
        <f t="shared" si="22"/>
        <v>2.4566666666666666</v>
      </c>
      <c r="Q56" s="13">
        <f t="shared" si="3"/>
        <v>0.84000000000000008</v>
      </c>
      <c r="R56" s="13">
        <v>7.0000000000000007E-2</v>
      </c>
      <c r="S56" s="74">
        <f t="shared" si="71"/>
        <v>0</v>
      </c>
      <c r="T56" s="74">
        <v>0</v>
      </c>
      <c r="U56" s="121">
        <f t="shared" si="23"/>
        <v>7.0000000000000007E-2</v>
      </c>
      <c r="V56" s="36">
        <f>VLOOKUP(F56,'[1]Proposta HNK para Tenda'!$F:$T,15,0)</f>
        <v>2.8900000000000006</v>
      </c>
      <c r="W56" s="36">
        <f>VLOOKUP(F56,'[1]Proposta HNK para Tenda'!$F:$U,16,0)</f>
        <v>2.5900000000000003</v>
      </c>
      <c r="X56" s="36"/>
      <c r="Y56" s="8">
        <f t="shared" si="5"/>
        <v>17297.280000000002</v>
      </c>
      <c r="Z56" s="8">
        <f t="shared" si="6"/>
        <v>607052.16</v>
      </c>
      <c r="AA56" s="76">
        <f>L56*12*0.35/100</f>
        <v>864.86399999999992</v>
      </c>
      <c r="AB56" s="43"/>
      <c r="AC56" s="44">
        <f t="shared" si="7"/>
        <v>8.449000000000001E-2</v>
      </c>
      <c r="AD56" s="39">
        <f t="shared" si="8"/>
        <v>7.0000000000000007E-2</v>
      </c>
      <c r="AE56" s="39">
        <f t="shared" si="37"/>
        <v>1.4490000000000003E-2</v>
      </c>
      <c r="AG56" s="175">
        <v>24.14</v>
      </c>
      <c r="AH56" s="175">
        <f t="shared" si="57"/>
        <v>20877.81696</v>
      </c>
      <c r="AI56" s="175">
        <f t="shared" si="58"/>
        <v>8.449000000000001E-2</v>
      </c>
      <c r="AJ56" s="7"/>
      <c r="AK56" s="7">
        <f t="shared" si="59"/>
        <v>0</v>
      </c>
      <c r="AL56" s="7">
        <f t="shared" si="60"/>
        <v>0</v>
      </c>
      <c r="AM56" s="7">
        <v>0</v>
      </c>
      <c r="AN56" s="7">
        <f t="shared" si="61"/>
        <v>0</v>
      </c>
      <c r="AO56" s="7">
        <f t="shared" si="62"/>
        <v>0</v>
      </c>
      <c r="AP56" s="7">
        <f t="shared" si="15"/>
        <v>20877.81696</v>
      </c>
      <c r="AQ56" s="7">
        <f t="shared" si="16"/>
        <v>8.449000000000001E-2</v>
      </c>
      <c r="AR56" s="40">
        <f t="shared" si="63"/>
        <v>17297.280000000002</v>
      </c>
      <c r="AS56" s="40">
        <f t="shared" si="38"/>
        <v>3580.5369599999976</v>
      </c>
      <c r="AT56" s="7">
        <f t="shared" si="64"/>
        <v>2.4566666666666666</v>
      </c>
      <c r="AU56" s="40">
        <f t="shared" si="65"/>
        <v>2.3866666666666667</v>
      </c>
      <c r="AV56" s="41">
        <f t="shared" si="66"/>
        <v>7.8507078507078595E-2</v>
      </c>
      <c r="AX56" s="150">
        <f t="shared" si="39"/>
        <v>2.5900000000000003</v>
      </c>
      <c r="AY56" s="151">
        <f t="shared" si="68"/>
        <v>0</v>
      </c>
      <c r="AZ56" s="160">
        <f t="shared" si="26"/>
        <v>2.5900000000000003</v>
      </c>
      <c r="BA56" s="164"/>
      <c r="BC56" s="86" t="s">
        <v>106</v>
      </c>
      <c r="BD56" s="86" t="s">
        <v>263</v>
      </c>
      <c r="BE56" s="87" t="s">
        <v>264</v>
      </c>
      <c r="BF56" s="87">
        <v>387000650117</v>
      </c>
      <c r="BG56" s="86" t="s">
        <v>265</v>
      </c>
      <c r="BH56" s="86">
        <v>2222</v>
      </c>
      <c r="BI56" s="86" t="s">
        <v>266</v>
      </c>
      <c r="BJ56" s="86">
        <v>13312250</v>
      </c>
      <c r="BK56" s="86" t="s">
        <v>267</v>
      </c>
      <c r="BL56" s="86" t="s">
        <v>108</v>
      </c>
    </row>
    <row r="57" spans="1:64 16368:16368" ht="14.25" customHeight="1" thickBot="1" x14ac:dyDescent="0.25">
      <c r="A57" s="52">
        <f>0.5*12/100</f>
        <v>0.06</v>
      </c>
      <c r="B57" s="27">
        <f>VLOOKUP(F57,Planilha3!D:F,3,0)</f>
        <v>472.85524514153593</v>
      </c>
      <c r="C57" s="47">
        <f t="shared" si="35"/>
        <v>7880.9207523589321</v>
      </c>
      <c r="D57" s="47" t="s">
        <v>92</v>
      </c>
      <c r="E57" s="47" t="s">
        <v>100</v>
      </c>
      <c r="F57" s="20">
        <v>903318</v>
      </c>
      <c r="G57" s="20">
        <v>1059549</v>
      </c>
      <c r="H57" s="75" t="s">
        <v>103</v>
      </c>
      <c r="I57" s="22">
        <v>12</v>
      </c>
      <c r="J57" s="22">
        <v>176</v>
      </c>
      <c r="K57" s="10">
        <f>J57*24</f>
        <v>4224</v>
      </c>
      <c r="L57" s="125">
        <f>K57*2</f>
        <v>8448</v>
      </c>
      <c r="M57" s="179">
        <f t="shared" si="1"/>
        <v>48</v>
      </c>
      <c r="N57" s="84">
        <f>M57/24</f>
        <v>2</v>
      </c>
      <c r="O57" s="148">
        <v>35.6</v>
      </c>
      <c r="P57" s="135">
        <f t="shared" si="22"/>
        <v>2.9666666666666668</v>
      </c>
      <c r="Q57" s="13">
        <f t="shared" si="3"/>
        <v>0.60000000000000009</v>
      </c>
      <c r="R57" s="13">
        <v>0.05</v>
      </c>
      <c r="S57" s="74">
        <f t="shared" si="71"/>
        <v>0</v>
      </c>
      <c r="T57" s="74">
        <v>0</v>
      </c>
      <c r="U57" s="121">
        <f t="shared" si="23"/>
        <v>0.05</v>
      </c>
      <c r="V57" s="36">
        <f>VLOOKUP(F57,'[1]Proposta HNK para Tenda'!$F:$T,15,0)</f>
        <v>3.49</v>
      </c>
      <c r="W57" s="36">
        <f>VLOOKUP(F57,'[1]Proposta HNK para Tenda'!$F:$U,16,0)</f>
        <v>3.19</v>
      </c>
      <c r="X57" s="36"/>
      <c r="Y57" s="8">
        <f t="shared" si="5"/>
        <v>5068.8000000000011</v>
      </c>
      <c r="Z57" s="8">
        <f t="shared" si="6"/>
        <v>300748.79999999999</v>
      </c>
      <c r="AA57" s="76">
        <f>L57*12*0.5/100</f>
        <v>506.88</v>
      </c>
      <c r="AB57" s="43"/>
      <c r="AC57" s="44">
        <f t="shared" si="7"/>
        <v>5.1500000000000011E-2</v>
      </c>
      <c r="AD57" s="39">
        <f t="shared" si="8"/>
        <v>0.05</v>
      </c>
      <c r="AE57" s="39">
        <f t="shared" si="37"/>
        <v>1.5000000000000083E-3</v>
      </c>
      <c r="AG57" s="175">
        <v>10.3</v>
      </c>
      <c r="AH57" s="175">
        <f t="shared" si="57"/>
        <v>5220.8640000000005</v>
      </c>
      <c r="AI57" s="175">
        <f t="shared" si="58"/>
        <v>5.1500000000000011E-2</v>
      </c>
      <c r="AJ57" s="7"/>
      <c r="AK57" s="7">
        <f t="shared" si="59"/>
        <v>0</v>
      </c>
      <c r="AL57" s="7">
        <f t="shared" si="60"/>
        <v>0</v>
      </c>
      <c r="AM57" s="7">
        <v>0</v>
      </c>
      <c r="AN57" s="7">
        <f t="shared" si="61"/>
        <v>0</v>
      </c>
      <c r="AO57" s="7">
        <f t="shared" si="62"/>
        <v>0</v>
      </c>
      <c r="AP57" s="7">
        <f t="shared" si="15"/>
        <v>5220.8640000000005</v>
      </c>
      <c r="AQ57" s="7">
        <f t="shared" si="16"/>
        <v>5.1500000000000011E-2</v>
      </c>
      <c r="AR57" s="40">
        <f t="shared" si="63"/>
        <v>5068.8000000000011</v>
      </c>
      <c r="AS57" s="40">
        <f t="shared" si="38"/>
        <v>152.0639999999994</v>
      </c>
      <c r="AT57" s="7">
        <f t="shared" si="64"/>
        <v>2.9666666666666668</v>
      </c>
      <c r="AU57" s="40">
        <f t="shared" si="65"/>
        <v>2.916666666666667</v>
      </c>
      <c r="AV57" s="41">
        <f t="shared" si="66"/>
        <v>8.5684430512016616E-2</v>
      </c>
      <c r="AX57" s="150">
        <f t="shared" si="39"/>
        <v>3.19</v>
      </c>
      <c r="AY57" s="152">
        <f t="shared" si="68"/>
        <v>0</v>
      </c>
      <c r="AZ57" s="161">
        <f t="shared" si="26"/>
        <v>3.19</v>
      </c>
      <c r="BA57" s="165"/>
      <c r="BC57" s="86" t="s">
        <v>106</v>
      </c>
      <c r="BD57" s="86" t="s">
        <v>263</v>
      </c>
      <c r="BE57" s="87" t="s">
        <v>264</v>
      </c>
      <c r="BF57" s="87">
        <v>387000650117</v>
      </c>
      <c r="BG57" s="86" t="s">
        <v>265</v>
      </c>
      <c r="BH57" s="86">
        <v>2222</v>
      </c>
      <c r="BI57" s="86" t="s">
        <v>266</v>
      </c>
      <c r="BJ57" s="86">
        <v>13312250</v>
      </c>
      <c r="BK57" s="86" t="s">
        <v>267</v>
      </c>
      <c r="BL57" s="86" t="s">
        <v>108</v>
      </c>
    </row>
    <row r="58" spans="1:64 16368:16368" ht="14.25" customHeight="1" x14ac:dyDescent="0.2">
      <c r="B58" s="27"/>
      <c r="N58" s="6">
        <f>SUM(N5:N57)</f>
        <v>113.7393162393162</v>
      </c>
      <c r="T58" s="2"/>
      <c r="U58" s="2"/>
      <c r="V58" s="2"/>
      <c r="W58" s="2"/>
      <c r="X58" s="2"/>
      <c r="Y58" s="5">
        <f>SUBTOTAL(9,Y5:Y57)</f>
        <v>2606749.1999999997</v>
      </c>
      <c r="Z58" s="5">
        <f>SUBTOTAL(9,Z5:Z57)</f>
        <v>38692343.739999972</v>
      </c>
      <c r="AA58" s="4">
        <f>SUBTOTAL(9,AA5:AA57)</f>
        <v>30361.504959999998</v>
      </c>
      <c r="AB58" s="54"/>
      <c r="AC58" s="58"/>
      <c r="AD58" s="58"/>
      <c r="AE58" s="58"/>
      <c r="AG58" s="54"/>
      <c r="AH58" s="59">
        <f>SUBTOTAL(9,AH5:AH57)</f>
        <v>1067795.7759520004</v>
      </c>
      <c r="AI58" s="54"/>
      <c r="AJ58" s="54"/>
      <c r="AK58" s="59">
        <f>SUBTOTAL(9,AK5:AK57)</f>
        <v>174579.83020800003</v>
      </c>
      <c r="AL58" s="54"/>
      <c r="AM58" s="54"/>
      <c r="AN58" s="59">
        <f>SUBTOTAL(9,AN5:AN57)</f>
        <v>1512745.6512</v>
      </c>
      <c r="AO58" s="54"/>
      <c r="AP58" s="59">
        <f>SUBTOTAL(9,AP5:AP57)</f>
        <v>2755121.2573599988</v>
      </c>
      <c r="AQ58" s="54"/>
      <c r="AR58" s="60">
        <f>SUM(AR5:AR57)</f>
        <v>2606749.1999999997</v>
      </c>
      <c r="AS58" s="60">
        <f>AP58-AR58</f>
        <v>148372.05735999905</v>
      </c>
      <c r="AT58" s="54"/>
      <c r="AU58" s="54"/>
      <c r="AV58" s="54"/>
      <c r="AX58" s="58"/>
      <c r="AY58" s="58"/>
      <c r="AZ58" s="58"/>
      <c r="BA58" s="58"/>
      <c r="XEN58" s="3">
        <f>SUM(XEN5:XFD57)</f>
        <v>0</v>
      </c>
    </row>
    <row r="59" spans="1:64 16368:16368" ht="14.25" customHeight="1" x14ac:dyDescent="0.2">
      <c r="B59" s="27"/>
      <c r="K59" s="18"/>
      <c r="T59" s="12"/>
      <c r="U59" s="12"/>
      <c r="V59" s="2"/>
      <c r="W59" s="2"/>
      <c r="X59" s="2"/>
      <c r="Y59" s="2"/>
      <c r="AA59" s="6"/>
      <c r="AC59" s="6"/>
      <c r="AD59" s="6"/>
      <c r="AE59" s="6"/>
      <c r="AP59" s="3"/>
      <c r="AX59" s="6"/>
      <c r="AY59" s="6"/>
      <c r="AZ59" s="6"/>
      <c r="BA59" s="6"/>
    </row>
    <row r="60" spans="1:64 16368:16368" ht="14.25" customHeight="1" x14ac:dyDescent="0.2">
      <c r="V60" s="2"/>
      <c r="W60" s="2"/>
      <c r="X60" s="2"/>
      <c r="Y60" s="23"/>
      <c r="Z60" s="23"/>
      <c r="AD60" s="6"/>
      <c r="AG60" s="65" t="s">
        <v>61</v>
      </c>
      <c r="AH60" s="66">
        <f>AP58</f>
        <v>2755121.2573599988</v>
      </c>
      <c r="AI60" s="3"/>
      <c r="AL60" s="3"/>
      <c r="AO60" s="3"/>
      <c r="AP60" s="3"/>
      <c r="AQ60" s="3"/>
    </row>
    <row r="61" spans="1:64 16368:16368" ht="14.25" customHeight="1" x14ac:dyDescent="0.2">
      <c r="T61" s="12"/>
      <c r="U61" s="12"/>
      <c r="V61" s="12"/>
      <c r="Y61" s="2"/>
      <c r="Z61" s="23"/>
      <c r="AA61" s="6"/>
      <c r="AD61" s="6"/>
      <c r="AE61" s="6"/>
      <c r="AG61" s="67" t="s">
        <v>88</v>
      </c>
      <c r="AH61" s="68">
        <f>Y58</f>
        <v>2606749.1999999997</v>
      </c>
      <c r="AI61" s="31"/>
      <c r="AP61" s="3"/>
      <c r="AQ61" s="3"/>
      <c r="AX61" s="6"/>
      <c r="AY61" s="6"/>
      <c r="AZ61" s="6"/>
      <c r="BA61" s="6"/>
    </row>
    <row r="62" spans="1:64 16368:16368" ht="14.25" customHeight="1" x14ac:dyDescent="0.2">
      <c r="Z62" s="6"/>
      <c r="AA62" s="6"/>
      <c r="AG62" s="69" t="s">
        <v>71</v>
      </c>
      <c r="AH62" s="70">
        <f>AH60-AH61</f>
        <v>148372.05735999905</v>
      </c>
      <c r="AI62" s="3">
        <v>366046.2</v>
      </c>
      <c r="AO62" s="3"/>
      <c r="AP62" s="3"/>
      <c r="AX62" s="6"/>
      <c r="AY62" s="6"/>
      <c r="AZ62" s="6"/>
      <c r="BA62" s="6"/>
    </row>
    <row r="63" spans="1:64 16368:16368" ht="14.25" customHeight="1" thickBot="1" x14ac:dyDescent="0.25">
      <c r="T63" s="3"/>
      <c r="U63" s="3"/>
      <c r="V63" s="3"/>
      <c r="Z63" s="6"/>
      <c r="AA63" s="6"/>
      <c r="AE63" s="2"/>
      <c r="AG63" s="2"/>
      <c r="AH63" s="2" t="s">
        <v>91</v>
      </c>
      <c r="AI63" s="3"/>
      <c r="AX63" s="2"/>
      <c r="AY63" s="2"/>
      <c r="AZ63" s="2"/>
      <c r="BA63" s="2"/>
    </row>
    <row r="64" spans="1:64 16368:16368" ht="14.25" customHeight="1" x14ac:dyDescent="0.2">
      <c r="W64" s="203" t="s">
        <v>90</v>
      </c>
      <c r="X64" s="204"/>
      <c r="Y64" s="205"/>
      <c r="Z64" s="6"/>
      <c r="AA64" s="6"/>
      <c r="AE64" s="23">
        <f>AH60/Z58</f>
        <v>7.120585084929261E-2</v>
      </c>
      <c r="AG64" s="65" t="s">
        <v>86</v>
      </c>
      <c r="AH64" s="72">
        <f>AH60/Z58</f>
        <v>7.120585084929261E-2</v>
      </c>
      <c r="AI64" s="3"/>
    </row>
    <row r="65" spans="20:34" ht="14.25" customHeight="1" x14ac:dyDescent="0.2">
      <c r="T65" s="23"/>
      <c r="U65" s="23"/>
      <c r="V65" s="23"/>
      <c r="W65" s="30" t="s">
        <v>76</v>
      </c>
      <c r="X65" s="30"/>
      <c r="Y65" s="81">
        <f>SUM(Y29:Y47)</f>
        <v>21000</v>
      </c>
      <c r="Z65" s="6"/>
      <c r="AA65" s="6"/>
      <c r="AG65" s="71" t="s">
        <v>87</v>
      </c>
      <c r="AH65" s="73">
        <f>Y58/Z58</f>
        <v>6.7371188923486022E-2</v>
      </c>
    </row>
    <row r="66" spans="20:34" ht="14.25" customHeight="1" x14ac:dyDescent="0.2">
      <c r="W66" s="30" t="s">
        <v>89</v>
      </c>
      <c r="X66" s="30"/>
      <c r="Y66" s="81">
        <f>SUM(Y10:Y25)</f>
        <v>1631013.3599999996</v>
      </c>
      <c r="Z66" s="31"/>
    </row>
    <row r="67" spans="20:34" ht="14.25" customHeight="1" x14ac:dyDescent="0.2">
      <c r="W67" s="30" t="s">
        <v>82</v>
      </c>
      <c r="X67" s="30"/>
      <c r="Y67" s="81">
        <f>SUM(Y5:Y6,Y7)</f>
        <v>920270.39999999991</v>
      </c>
    </row>
    <row r="68" spans="20:34" ht="14.25" customHeight="1" x14ac:dyDescent="0.2">
      <c r="W68" s="30" t="s">
        <v>104</v>
      </c>
      <c r="X68" s="30"/>
      <c r="Y68" s="81">
        <f>SUM(Y48:Y57)</f>
        <v>32456.160000000003</v>
      </c>
    </row>
    <row r="69" spans="20:34" ht="14.25" customHeight="1" x14ac:dyDescent="0.2">
      <c r="Y69" s="3">
        <f>SUM(Y65:Y68)</f>
        <v>2604739.92</v>
      </c>
      <c r="AG69" s="23"/>
    </row>
    <row r="71" spans="20:34" ht="14.25" customHeight="1" x14ac:dyDescent="0.2">
      <c r="Y71" s="88"/>
    </row>
  </sheetData>
  <mergeCells count="6">
    <mergeCell ref="AV3:AV4"/>
    <mergeCell ref="W64:Y64"/>
    <mergeCell ref="AC3:AC4"/>
    <mergeCell ref="AD3:AD4"/>
    <mergeCell ref="AE3:AE4"/>
    <mergeCell ref="V3:X3"/>
  </mergeCells>
  <phoneticPr fontId="27" type="noConversion"/>
  <pageMargins left="0.511811024" right="0.511811024" top="0.78740157499999996" bottom="0.78740157499999996" header="0.31496062000000002" footer="0.31496062000000002"/>
  <pageSetup orientation="portrait" r:id="rId1"/>
  <headerFooter>
    <oddFooter>&amp;R_x000D_&amp;1#&amp;"Calibri"&amp;11&amp;K000000 Este conteúdo foi classificado como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5059-7B3B-415F-92DB-D2E4673B6CC2}">
  <sheetPr>
    <tabColor rgb="FFFF0000"/>
  </sheetPr>
  <dimension ref="A1:XEO61"/>
  <sheetViews>
    <sheetView showGridLines="0" tabSelected="1" zoomScale="91" zoomScaleNormal="91" workbookViewId="0">
      <pane xSplit="11" ySplit="4" topLeftCell="AT5" activePane="bottomRight" state="frozen"/>
      <selection activeCell="I19" sqref="I19"/>
      <selection pane="topRight" activeCell="I19" sqref="I19"/>
      <selection pane="bottomLeft" activeCell="I19" sqref="I19"/>
      <selection pane="bottomRight" activeCell="AY5" sqref="AY5"/>
    </sheetView>
  </sheetViews>
  <sheetFormatPr defaultRowHeight="14.25" customHeight="1" outlineLevelCol="1" x14ac:dyDescent="0.2"/>
  <cols>
    <col min="1" max="1" width="9.5703125" style="1" hidden="1" customWidth="1" outlineLevel="1"/>
    <col min="2" max="2" width="11.85546875" style="1" hidden="1" customWidth="1" outlineLevel="1"/>
    <col min="3" max="3" width="8.140625" style="30" hidden="1" customWidth="1" outlineLevel="1"/>
    <col min="4" max="4" width="10.42578125" style="30" hidden="1" customWidth="1" outlineLevel="1"/>
    <col min="5" max="5" width="9.42578125" style="30" hidden="1" customWidth="1" outlineLevel="1"/>
    <col min="6" max="6" width="9.7109375" style="30" customWidth="1" collapsed="1"/>
    <col min="7" max="7" width="8.28515625" style="1" bestFit="1" customWidth="1"/>
    <col min="8" max="8" width="34.5703125" style="1" customWidth="1"/>
    <col min="9" max="9" width="3.5703125" style="1" bestFit="1" customWidth="1"/>
    <col min="10" max="10" width="6.28515625" style="1" bestFit="1" customWidth="1"/>
    <col min="11" max="11" width="7.140625" style="1" bestFit="1" customWidth="1"/>
    <col min="12" max="12" width="8.7109375" style="1" customWidth="1"/>
    <col min="13" max="13" width="7.7109375" style="1" customWidth="1"/>
    <col min="14" max="14" width="7.42578125" style="1" customWidth="1"/>
    <col min="15" max="15" width="7.140625" style="1" customWidth="1"/>
    <col min="16" max="16" width="7.85546875" style="1" customWidth="1"/>
    <col min="17" max="17" width="11" style="1" hidden="1" customWidth="1" outlineLevel="1"/>
    <col min="18" max="18" width="10" style="1" customWidth="1" collapsed="1"/>
    <col min="19" max="19" width="9.7109375" style="1" hidden="1" customWidth="1" outlineLevel="1"/>
    <col min="20" max="20" width="9.5703125" style="1" customWidth="1" collapsed="1"/>
    <col min="21" max="22" width="11.28515625" style="1" customWidth="1"/>
    <col min="23" max="23" width="9.5703125" style="1" customWidth="1"/>
    <col min="24" max="24" width="7.85546875" style="1" customWidth="1"/>
    <col min="25" max="25" width="10.28515625" style="1" customWidth="1"/>
    <col min="26" max="26" width="14.42578125" style="1" customWidth="1"/>
    <col min="27" max="27" width="16.140625" style="1" bestFit="1" customWidth="1"/>
    <col min="28" max="28" width="9.5703125" style="1" bestFit="1" customWidth="1"/>
    <col min="29" max="29" width="2.42578125" style="1" customWidth="1" outlineLevel="1"/>
    <col min="30" max="30" width="16.7109375" style="1" customWidth="1" outlineLevel="1"/>
    <col min="31" max="31" width="13" style="1" customWidth="1" outlineLevel="1"/>
    <col min="32" max="32" width="8.140625" style="1" customWidth="1" outlineLevel="1"/>
    <col min="33" max="33" width="2" style="1" customWidth="1"/>
    <col min="34" max="34" width="12" style="1" customWidth="1" outlineLevel="1"/>
    <col min="35" max="35" width="14.7109375" style="1" customWidth="1" outlineLevel="1"/>
    <col min="36" max="36" width="12.7109375" style="1" customWidth="1" outlineLevel="1"/>
    <col min="37" max="37" width="8.42578125" style="1" customWidth="1" outlineLevel="1"/>
    <col min="38" max="38" width="12.7109375" style="1" customWidth="1" outlineLevel="1"/>
    <col min="39" max="39" width="11.7109375" style="1" customWidth="1" outlineLevel="1"/>
    <col min="40" max="40" width="9.42578125" style="1" customWidth="1" outlineLevel="1"/>
    <col min="41" max="41" width="14.140625" style="1" customWidth="1" outlineLevel="1"/>
    <col min="42" max="42" width="11.7109375" style="1" customWidth="1" outlineLevel="1"/>
    <col min="43" max="43" width="14.140625" style="1" customWidth="1" outlineLevel="1"/>
    <col min="44" max="44" width="11.28515625" style="1" customWidth="1" outlineLevel="1"/>
    <col min="45" max="45" width="17" style="1" customWidth="1" outlineLevel="1"/>
    <col min="46" max="46" width="13.140625" style="1" customWidth="1" outlineLevel="1"/>
    <col min="47" max="47" width="11.85546875" style="1" customWidth="1" outlineLevel="1"/>
    <col min="48" max="48" width="10.7109375" style="1" customWidth="1" outlineLevel="1"/>
    <col min="49" max="49" width="16" style="1" customWidth="1" outlineLevel="1"/>
    <col min="50" max="50" width="2.42578125" style="1" customWidth="1"/>
    <col min="51" max="51" width="13.28515625" style="1" customWidth="1" outlineLevel="1"/>
    <col min="52" max="52" width="13" style="1" customWidth="1" outlineLevel="1"/>
    <col min="53" max="53" width="9.42578125" style="1" customWidth="1" outlineLevel="1"/>
    <col min="54" max="54" width="8" style="1" customWidth="1" outlineLevel="1"/>
    <col min="55" max="55" width="4" style="1" customWidth="1"/>
    <col min="56" max="56" width="11.28515625" style="1" bestFit="1" customWidth="1"/>
    <col min="57" max="57" width="29.85546875" style="1" bestFit="1" customWidth="1"/>
    <col min="58" max="58" width="16.42578125" style="1" bestFit="1" customWidth="1"/>
    <col min="59" max="59" width="14" style="1" bestFit="1" customWidth="1"/>
    <col min="60" max="60" width="41.42578125" style="1" bestFit="1" customWidth="1"/>
    <col min="61" max="61" width="7" style="1" bestFit="1" customWidth="1"/>
    <col min="62" max="62" width="26" style="1" bestFit="1" customWidth="1"/>
    <col min="63" max="63" width="8.5703125" style="1" bestFit="1" customWidth="1"/>
    <col min="64" max="64" width="11.28515625" style="1" bestFit="1" customWidth="1"/>
    <col min="65" max="65" width="3.85546875" style="1" bestFit="1" customWidth="1"/>
    <col min="66" max="16368" width="9.140625" style="1"/>
    <col min="16369" max="16369" width="6.7109375" style="1" bestFit="1" customWidth="1"/>
    <col min="16370" max="16384" width="6.7109375" style="1" customWidth="1"/>
  </cols>
  <sheetData>
    <row r="1" spans="1:65" ht="14.25" customHeight="1" x14ac:dyDescent="0.2">
      <c r="T1" s="2">
        <v>0.2</v>
      </c>
      <c r="U1" s="2">
        <v>0.75</v>
      </c>
    </row>
    <row r="2" spans="1:65" ht="12" x14ac:dyDescent="0.2">
      <c r="J2" s="124"/>
      <c r="Q2" s="26"/>
      <c r="R2" s="25"/>
      <c r="S2" s="33"/>
      <c r="T2" s="33">
        <v>0.08</v>
      </c>
      <c r="U2" s="33">
        <v>0.3</v>
      </c>
      <c r="V2" s="33"/>
      <c r="W2" s="27"/>
      <c r="X2" s="27"/>
      <c r="Y2" s="27"/>
      <c r="Z2" s="28"/>
      <c r="AA2" s="28"/>
      <c r="AB2" s="38"/>
      <c r="AC2" s="43"/>
      <c r="AD2" s="42"/>
      <c r="AE2" s="42"/>
      <c r="AF2" s="42"/>
      <c r="AH2" s="54"/>
      <c r="AI2" s="61">
        <f>SUBTOTAL(9,AI5:AI47)</f>
        <v>3116511.7209279994</v>
      </c>
      <c r="AJ2" s="54"/>
      <c r="AK2" s="54"/>
      <c r="AL2" s="61">
        <f>SUBTOTAL(9,AL5:AL47)</f>
        <v>780649.73683200008</v>
      </c>
      <c r="AM2" s="54"/>
      <c r="AN2" s="54"/>
      <c r="AO2" s="61">
        <f>SUBTOTAL(9,AO5:AO47)</f>
        <v>5525350.0896000015</v>
      </c>
      <c r="AP2" s="54"/>
      <c r="AQ2" s="55"/>
      <c r="AR2" s="54"/>
      <c r="AS2" s="43"/>
      <c r="AT2" s="43"/>
      <c r="AU2" s="43"/>
      <c r="AV2" s="43"/>
      <c r="AW2" s="43"/>
      <c r="AY2" s="42"/>
      <c r="AZ2" s="42"/>
      <c r="BA2" s="42"/>
      <c r="BB2" s="42"/>
    </row>
    <row r="3" spans="1:65" ht="19.5" customHeight="1" x14ac:dyDescent="0.2">
      <c r="B3" s="34" t="e">
        <f>SUBTOTAL(9,B5:B47)</f>
        <v>#N/A</v>
      </c>
      <c r="H3" s="2"/>
      <c r="L3" s="18"/>
      <c r="N3" s="18"/>
      <c r="O3" s="134"/>
      <c r="P3" s="134"/>
      <c r="Q3" s="134"/>
      <c r="R3" s="31"/>
      <c r="T3" s="6"/>
      <c r="U3" s="6"/>
      <c r="V3" s="6"/>
      <c r="W3" s="212" t="s">
        <v>285</v>
      </c>
      <c r="X3" s="213"/>
      <c r="Y3" s="213"/>
      <c r="Z3" s="2">
        <f>SUBTOTAL(9,Z5:Z47)</f>
        <v>9417451.2000000011</v>
      </c>
      <c r="AB3" s="19">
        <f>SUBTOTAL(9,AB5:AB47)</f>
        <v>89092.450480000029</v>
      </c>
      <c r="AC3" s="43"/>
      <c r="AD3" s="206" t="s">
        <v>59</v>
      </c>
      <c r="AE3" s="208" t="s">
        <v>58</v>
      </c>
      <c r="AF3" s="210" t="s">
        <v>279</v>
      </c>
      <c r="AH3" s="113"/>
      <c r="AI3" s="113" t="s">
        <v>51</v>
      </c>
      <c r="AJ3" s="113"/>
      <c r="AK3" s="114"/>
      <c r="AL3" s="114" t="s">
        <v>57</v>
      </c>
      <c r="AM3" s="114"/>
      <c r="AN3" s="115"/>
      <c r="AO3" s="115" t="s">
        <v>50</v>
      </c>
      <c r="AP3" s="115"/>
      <c r="AQ3" s="116">
        <f>SUBTOTAL(9,AQ5:AQ47)</f>
        <v>9422511.547360003</v>
      </c>
      <c r="AR3" s="117"/>
      <c r="AS3" s="118"/>
      <c r="AT3" s="119"/>
      <c r="AU3" s="120"/>
      <c r="AV3" s="120"/>
      <c r="AW3" s="201" t="s">
        <v>70</v>
      </c>
      <c r="AY3" s="166"/>
      <c r="AZ3" s="166"/>
      <c r="BA3" s="166"/>
      <c r="BB3" s="166"/>
    </row>
    <row r="4" spans="1:65" ht="40.5" customHeight="1" thickBot="1" x14ac:dyDescent="0.25">
      <c r="A4" s="48" t="s">
        <v>62</v>
      </c>
      <c r="B4" s="49" t="s">
        <v>85</v>
      </c>
      <c r="C4" s="48" t="s">
        <v>63</v>
      </c>
      <c r="D4" s="48" t="s">
        <v>72</v>
      </c>
      <c r="E4" s="48" t="s">
        <v>73</v>
      </c>
      <c r="F4" s="15" t="s">
        <v>84</v>
      </c>
      <c r="G4" s="17" t="s">
        <v>47</v>
      </c>
      <c r="H4" s="17" t="s">
        <v>46</v>
      </c>
      <c r="I4" s="15" t="s">
        <v>45</v>
      </c>
      <c r="J4" s="15" t="s">
        <v>44</v>
      </c>
      <c r="K4" s="15" t="s">
        <v>43</v>
      </c>
      <c r="L4" s="15" t="s">
        <v>42</v>
      </c>
      <c r="M4" s="16" t="s">
        <v>41</v>
      </c>
      <c r="N4" s="16" t="s">
        <v>40</v>
      </c>
      <c r="O4" s="15" t="s">
        <v>67</v>
      </c>
      <c r="P4" s="15" t="s">
        <v>245</v>
      </c>
      <c r="Q4" s="15" t="s">
        <v>39</v>
      </c>
      <c r="R4" s="15" t="s">
        <v>38</v>
      </c>
      <c r="S4" s="15" t="s">
        <v>37</v>
      </c>
      <c r="T4" s="15" t="s">
        <v>36</v>
      </c>
      <c r="U4" s="15" t="s">
        <v>123</v>
      </c>
      <c r="V4" s="182" t="s">
        <v>286</v>
      </c>
      <c r="W4" s="35" t="s">
        <v>66</v>
      </c>
      <c r="X4" s="37" t="s">
        <v>65</v>
      </c>
      <c r="Y4" s="37" t="s">
        <v>280</v>
      </c>
      <c r="Z4" s="14" t="s">
        <v>35</v>
      </c>
      <c r="AA4" s="24" t="s">
        <v>34</v>
      </c>
      <c r="AB4" s="24" t="s">
        <v>52</v>
      </c>
      <c r="AC4" s="53"/>
      <c r="AD4" s="207"/>
      <c r="AE4" s="209"/>
      <c r="AF4" s="211"/>
      <c r="AH4" s="62" t="s">
        <v>33</v>
      </c>
      <c r="AI4" s="62" t="s">
        <v>32</v>
      </c>
      <c r="AJ4" s="62" t="s">
        <v>31</v>
      </c>
      <c r="AK4" s="63" t="s">
        <v>33</v>
      </c>
      <c r="AL4" s="63" t="s">
        <v>32</v>
      </c>
      <c r="AM4" s="63" t="s">
        <v>31</v>
      </c>
      <c r="AN4" s="64" t="s">
        <v>33</v>
      </c>
      <c r="AO4" s="64" t="s">
        <v>32</v>
      </c>
      <c r="AP4" s="64" t="s">
        <v>31</v>
      </c>
      <c r="AQ4" s="56" t="s">
        <v>49</v>
      </c>
      <c r="AR4" s="57" t="s">
        <v>48</v>
      </c>
      <c r="AS4" s="111" t="s">
        <v>35</v>
      </c>
      <c r="AT4" s="112" t="s">
        <v>105</v>
      </c>
      <c r="AU4" s="110" t="s">
        <v>68</v>
      </c>
      <c r="AV4" s="110" t="s">
        <v>69</v>
      </c>
      <c r="AW4" s="202"/>
      <c r="AY4" s="149" t="s">
        <v>282</v>
      </c>
      <c r="AZ4" s="149" t="s">
        <v>283</v>
      </c>
      <c r="BA4" s="149" t="s">
        <v>281</v>
      </c>
      <c r="BB4" s="149" t="s">
        <v>284</v>
      </c>
      <c r="BD4" s="15" t="s">
        <v>109</v>
      </c>
      <c r="BE4" s="15" t="s">
        <v>110</v>
      </c>
      <c r="BF4" s="15" t="s">
        <v>107</v>
      </c>
      <c r="BG4" s="15" t="s">
        <v>111</v>
      </c>
      <c r="BH4" s="15" t="s">
        <v>112</v>
      </c>
      <c r="BI4" s="15" t="s">
        <v>113</v>
      </c>
      <c r="BJ4" s="15" t="s">
        <v>114</v>
      </c>
      <c r="BK4" s="15" t="s">
        <v>109</v>
      </c>
      <c r="BL4" s="15" t="s">
        <v>115</v>
      </c>
      <c r="BM4" s="15" t="s">
        <v>116</v>
      </c>
    </row>
    <row r="5" spans="1:65" ht="14.25" customHeight="1" thickBot="1" x14ac:dyDescent="0.25">
      <c r="A5" s="50">
        <v>3.2280000000000003E-2</v>
      </c>
      <c r="B5" s="27">
        <f>VLOOKUP(F5,Planilha3!D:F,3,0)</f>
        <v>1663.6932576133315</v>
      </c>
      <c r="C5" s="47">
        <f>B5/A5</f>
        <v>51539.444163981767</v>
      </c>
      <c r="D5" s="47" t="s">
        <v>82</v>
      </c>
      <c r="E5" s="47" t="s">
        <v>83</v>
      </c>
      <c r="F5" s="20">
        <v>904113</v>
      </c>
      <c r="G5" s="20">
        <v>1052772</v>
      </c>
      <c r="H5" s="11" t="s">
        <v>30</v>
      </c>
      <c r="I5" s="20">
        <v>12</v>
      </c>
      <c r="J5" s="20">
        <v>336</v>
      </c>
      <c r="K5" s="123">
        <f t="shared" ref="K5:K14" si="0">J5*24</f>
        <v>8064</v>
      </c>
      <c r="L5" s="125">
        <v>645120</v>
      </c>
      <c r="M5" s="178">
        <f t="shared" ref="M5:M47" si="1">L5/J5</f>
        <v>1920</v>
      </c>
      <c r="N5" s="84">
        <f t="shared" ref="N5:N30" si="2">L5/K5</f>
        <v>80</v>
      </c>
      <c r="O5" s="148">
        <v>33.159999999999997</v>
      </c>
      <c r="P5" s="135">
        <f>O5/I5</f>
        <v>2.7633333333333332</v>
      </c>
      <c r="Q5" s="13">
        <f t="shared" ref="Q5:Q47" si="3">R5*I5</f>
        <v>0.60000000000000009</v>
      </c>
      <c r="R5" s="13">
        <v>0.05</v>
      </c>
      <c r="S5" s="74">
        <f t="shared" ref="S5:S47" si="4">T5*I5</f>
        <v>3.5999999999999996</v>
      </c>
      <c r="T5" s="74">
        <v>0.3</v>
      </c>
      <c r="U5" s="121">
        <f>SUM(R5,T5)</f>
        <v>0.35</v>
      </c>
      <c r="V5" s="121">
        <v>0.35</v>
      </c>
      <c r="W5" s="157">
        <f>VLOOKUP(F5,'[1]Proposta HNK para Tenda'!$F:$T,15,0)</f>
        <v>3.2900000000000005</v>
      </c>
      <c r="X5" s="157">
        <f>VLOOKUP(F5,'[1]Proposta HNK para Tenda'!$F:$U,16,0)</f>
        <v>3.0900000000000003</v>
      </c>
      <c r="Y5" s="157">
        <v>2.79</v>
      </c>
      <c r="Z5" s="45">
        <f t="shared" ref="Z5:Z47" si="5">L5*(Q5+S5)</f>
        <v>2709503.9999999995</v>
      </c>
      <c r="AA5" s="8">
        <f t="shared" ref="AA5:AA47" si="6">L5*O5</f>
        <v>21392179.199999999</v>
      </c>
      <c r="AB5" s="32">
        <f>L5*12*0.269/100</f>
        <v>20824.473600000001</v>
      </c>
      <c r="AC5" s="43"/>
      <c r="AD5" s="44">
        <f t="shared" ref="AD5:AD47" si="7">SUM(AJ5,AM5,AP5)</f>
        <v>0.36812650000000002</v>
      </c>
      <c r="AE5" s="39">
        <f t="shared" ref="AE5:AE47" si="8">SUM(R5,T5)</f>
        <v>0.35</v>
      </c>
      <c r="AF5" s="39">
        <f>AD5-AE5</f>
        <v>1.8126500000000045E-2</v>
      </c>
      <c r="AH5" s="175">
        <v>19.98</v>
      </c>
      <c r="AI5" s="175">
        <f t="shared" ref="AI5:AI47" si="9">AH5*AB5</f>
        <v>416072.98252800002</v>
      </c>
      <c r="AJ5" s="175">
        <f t="shared" ref="AJ5:AJ47" si="10">AI5/L5/I5</f>
        <v>5.3746200000000001E-2</v>
      </c>
      <c r="AK5" s="175">
        <v>23.87</v>
      </c>
      <c r="AL5" s="175">
        <f t="shared" ref="AL5:AL47" si="11">AK5*AB5</f>
        <v>497080.18483200006</v>
      </c>
      <c r="AM5" s="175">
        <f t="shared" ref="AM5:AM47" si="12">AL5/L5/I5</f>
        <v>6.4210300000000012E-2</v>
      </c>
      <c r="AN5" s="174">
        <v>93</v>
      </c>
      <c r="AO5" s="174">
        <f t="shared" ref="AO5:AO47" si="13">AN5*AB5</f>
        <v>1936676.0448</v>
      </c>
      <c r="AP5" s="174">
        <f t="shared" ref="AP5:AP47" si="14">AO5/L5/I5</f>
        <v>0.25017</v>
      </c>
      <c r="AQ5" s="7">
        <f t="shared" ref="AQ5:AR47" si="15">SUM(AI5,AL5,AO5)</f>
        <v>2849829.2121600001</v>
      </c>
      <c r="AR5" s="7">
        <f t="shared" si="15"/>
        <v>0.36812650000000002</v>
      </c>
      <c r="AS5" s="40">
        <f t="shared" ref="AS5:AS47" si="16">Z5</f>
        <v>2709503.9999999995</v>
      </c>
      <c r="AT5" s="40">
        <f>AQ5-AS5</f>
        <v>140325.21216000058</v>
      </c>
      <c r="AU5" s="7">
        <f t="shared" ref="AU5:AU47" si="17">O5/I5</f>
        <v>2.7633333333333332</v>
      </c>
      <c r="AV5" s="40">
        <f t="shared" ref="AV5:AV47" si="18">AU5-R5-T5</f>
        <v>2.4133333333333336</v>
      </c>
      <c r="AW5" s="41">
        <f t="shared" ref="AW5:AW47" si="19">(X5-AV5)/X5</f>
        <v>0.21898597626752966</v>
      </c>
      <c r="AY5" s="155">
        <f>X5*50%</f>
        <v>1.5450000000000002</v>
      </c>
      <c r="AZ5" s="156">
        <f>Y5*50%</f>
        <v>1.395</v>
      </c>
      <c r="BA5" s="158">
        <f>AY5+AZ5</f>
        <v>2.9400000000000004</v>
      </c>
      <c r="BB5" s="162">
        <f>(X5-Y5)/X5</f>
        <v>9.7087378640776781E-2</v>
      </c>
      <c r="BD5" s="86" t="s">
        <v>106</v>
      </c>
      <c r="BE5" s="86" t="s">
        <v>263</v>
      </c>
      <c r="BF5" s="87" t="s">
        <v>264</v>
      </c>
      <c r="BG5" s="87">
        <v>387000650117</v>
      </c>
      <c r="BH5" s="86" t="s">
        <v>265</v>
      </c>
      <c r="BI5" s="86">
        <v>2222</v>
      </c>
      <c r="BJ5" s="86" t="s">
        <v>266</v>
      </c>
      <c r="BK5" s="86">
        <v>13312250</v>
      </c>
      <c r="BL5" s="86" t="s">
        <v>267</v>
      </c>
      <c r="BM5" s="86" t="s">
        <v>108</v>
      </c>
    </row>
    <row r="6" spans="1:65" ht="14.25" customHeight="1" thickBot="1" x14ac:dyDescent="0.25">
      <c r="A6" s="50">
        <v>4.2000000000000003E-2</v>
      </c>
      <c r="B6" s="27">
        <f>VLOOKUP(F6,Planilha3!D:F,3,0)</f>
        <v>1031.9337719008988</v>
      </c>
      <c r="C6" s="47">
        <f t="shared" ref="C6:C47" si="20">B6/A6</f>
        <v>24569.85171192616</v>
      </c>
      <c r="D6" s="47" t="s">
        <v>82</v>
      </c>
      <c r="E6" s="47" t="s">
        <v>83</v>
      </c>
      <c r="F6" s="20">
        <v>904952</v>
      </c>
      <c r="G6" s="20">
        <v>1193288</v>
      </c>
      <c r="H6" s="11" t="s">
        <v>53</v>
      </c>
      <c r="I6" s="20">
        <v>12</v>
      </c>
      <c r="J6" s="20">
        <v>280</v>
      </c>
      <c r="K6" s="123">
        <f t="shared" si="0"/>
        <v>6720</v>
      </c>
      <c r="L6" s="125">
        <v>302400</v>
      </c>
      <c r="M6" s="178">
        <f t="shared" si="1"/>
        <v>1080</v>
      </c>
      <c r="N6" s="84">
        <f t="shared" si="2"/>
        <v>45</v>
      </c>
      <c r="O6" s="148">
        <v>39.21</v>
      </c>
      <c r="P6" s="135">
        <f t="shared" ref="P6:P47" si="21">O6/I6</f>
        <v>3.2675000000000001</v>
      </c>
      <c r="Q6" s="13">
        <f t="shared" si="3"/>
        <v>1.2000000000000002</v>
      </c>
      <c r="R6" s="13">
        <v>0.1</v>
      </c>
      <c r="S6" s="74">
        <f t="shared" si="4"/>
        <v>3.24</v>
      </c>
      <c r="T6" s="74">
        <v>0.27</v>
      </c>
      <c r="U6" s="121">
        <f t="shared" ref="U6:U47" si="22">SUM(R6,T6)</f>
        <v>0.37</v>
      </c>
      <c r="V6" s="121">
        <v>0.37</v>
      </c>
      <c r="W6" s="157">
        <f>VLOOKUP(F6,'[1]Proposta HNK para Tenda'!$F:$T,15,0)</f>
        <v>3.89</v>
      </c>
      <c r="X6" s="157">
        <f>VLOOKUP(F6,'[1]Proposta HNK para Tenda'!$F:$U,16,0)</f>
        <v>3.6900000000000004</v>
      </c>
      <c r="Y6" s="157">
        <v>3.29</v>
      </c>
      <c r="Z6" s="45">
        <f t="shared" si="5"/>
        <v>1342656.0000000002</v>
      </c>
      <c r="AA6" s="8">
        <f t="shared" si="6"/>
        <v>11857104</v>
      </c>
      <c r="AB6" s="32">
        <f>L6*12*0.35/100</f>
        <v>12700.8</v>
      </c>
      <c r="AC6" s="43"/>
      <c r="AD6" s="44">
        <f t="shared" si="7"/>
        <v>0.378</v>
      </c>
      <c r="AE6" s="39">
        <f t="shared" si="8"/>
        <v>0.37</v>
      </c>
      <c r="AF6" s="39">
        <f t="shared" ref="AF6:AF47" si="23">AD6-AE6</f>
        <v>8.0000000000000071E-3</v>
      </c>
      <c r="AH6" s="175">
        <v>21.4</v>
      </c>
      <c r="AI6" s="175">
        <f t="shared" si="9"/>
        <v>271797.12</v>
      </c>
      <c r="AJ6" s="175">
        <f t="shared" si="10"/>
        <v>7.4899999999999994E-2</v>
      </c>
      <c r="AK6" s="175">
        <v>21.6</v>
      </c>
      <c r="AL6" s="175">
        <f t="shared" si="11"/>
        <v>274337.28000000003</v>
      </c>
      <c r="AM6" s="175">
        <f t="shared" si="12"/>
        <v>7.5600000000000014E-2</v>
      </c>
      <c r="AN6" s="174">
        <v>65</v>
      </c>
      <c r="AO6" s="174">
        <f t="shared" si="13"/>
        <v>825552</v>
      </c>
      <c r="AP6" s="174">
        <f t="shared" si="14"/>
        <v>0.22750000000000001</v>
      </c>
      <c r="AQ6" s="7">
        <f t="shared" si="15"/>
        <v>1371686.4</v>
      </c>
      <c r="AR6" s="7">
        <f t="shared" si="15"/>
        <v>0.378</v>
      </c>
      <c r="AS6" s="40">
        <f t="shared" si="16"/>
        <v>1342656.0000000002</v>
      </c>
      <c r="AT6" s="40">
        <f t="shared" ref="AT6:AT47" si="24">AQ6-AS6</f>
        <v>29030.399999999674</v>
      </c>
      <c r="AU6" s="7">
        <f t="shared" si="17"/>
        <v>3.2675000000000001</v>
      </c>
      <c r="AV6" s="40">
        <f t="shared" si="18"/>
        <v>2.8975</v>
      </c>
      <c r="AW6" s="41">
        <f t="shared" si="19"/>
        <v>0.21476964769647705</v>
      </c>
      <c r="AY6" s="153">
        <f>X6*50%</f>
        <v>1.8450000000000002</v>
      </c>
      <c r="AZ6" s="154">
        <f>Y6*50%</f>
        <v>1.645</v>
      </c>
      <c r="BA6" s="159">
        <f t="shared" ref="BA6:BA47" si="25">AY6+AZ6</f>
        <v>3.49</v>
      </c>
      <c r="BB6" s="163">
        <f>(X6-Y6)/X6</f>
        <v>0.1084010840108402</v>
      </c>
      <c r="BD6" s="86" t="s">
        <v>121</v>
      </c>
      <c r="BE6" s="86" t="s">
        <v>263</v>
      </c>
      <c r="BF6" s="87" t="s">
        <v>268</v>
      </c>
      <c r="BG6" s="87">
        <v>392558326113</v>
      </c>
      <c r="BH6" s="86" t="s">
        <v>269</v>
      </c>
      <c r="BI6" s="86">
        <v>2911</v>
      </c>
      <c r="BJ6" s="86" t="s">
        <v>270</v>
      </c>
      <c r="BK6" s="86">
        <v>12321150</v>
      </c>
      <c r="BL6" s="86" t="s">
        <v>271</v>
      </c>
      <c r="BM6" s="86" t="s">
        <v>108</v>
      </c>
    </row>
    <row r="7" spans="1:65" ht="14.25" customHeight="1" thickBot="1" x14ac:dyDescent="0.25">
      <c r="A7" s="51">
        <v>7.1999999999999995E-2</v>
      </c>
      <c r="B7" s="27">
        <f>VLOOKUP(F7,Planilha3!D:F,3,0)</f>
        <v>40.230639601668081</v>
      </c>
      <c r="C7" s="47">
        <f t="shared" si="20"/>
        <v>558.7588833565012</v>
      </c>
      <c r="D7" s="47" t="s">
        <v>82</v>
      </c>
      <c r="E7" s="47" t="s">
        <v>83</v>
      </c>
      <c r="F7" s="20">
        <v>905052</v>
      </c>
      <c r="G7" s="20">
        <v>1207152</v>
      </c>
      <c r="H7" s="11" t="s">
        <v>122</v>
      </c>
      <c r="I7" s="20">
        <v>12</v>
      </c>
      <c r="J7" s="20">
        <v>175</v>
      </c>
      <c r="K7" s="123">
        <f t="shared" si="0"/>
        <v>4200</v>
      </c>
      <c r="L7" s="125">
        <v>8400</v>
      </c>
      <c r="M7" s="178">
        <f t="shared" si="1"/>
        <v>48</v>
      </c>
      <c r="N7" s="84">
        <f t="shared" si="2"/>
        <v>2</v>
      </c>
      <c r="O7" s="148">
        <v>47.28</v>
      </c>
      <c r="P7" s="135">
        <f t="shared" si="21"/>
        <v>3.94</v>
      </c>
      <c r="Q7" s="13">
        <f t="shared" si="3"/>
        <v>0.60000000000000009</v>
      </c>
      <c r="R7" s="13">
        <v>0.05</v>
      </c>
      <c r="S7" s="74">
        <f t="shared" si="4"/>
        <v>9</v>
      </c>
      <c r="T7" s="74">
        <v>0.75</v>
      </c>
      <c r="U7" s="121">
        <f t="shared" si="22"/>
        <v>0.8</v>
      </c>
      <c r="V7" s="183">
        <v>0.8</v>
      </c>
      <c r="W7" s="36">
        <f>VLOOKUP(F7,'[1]Proposta HNK para Tenda'!$F:$T,15,0)</f>
        <v>4.6900000000000004</v>
      </c>
      <c r="X7" s="36">
        <f>VLOOKUP(F7,'[1]Proposta HNK para Tenda'!$F:$U,16,0)</f>
        <v>4.49</v>
      </c>
      <c r="Y7" s="36"/>
      <c r="Z7" s="45">
        <f t="shared" si="5"/>
        <v>80640</v>
      </c>
      <c r="AA7" s="8">
        <f t="shared" si="6"/>
        <v>397152</v>
      </c>
      <c r="AB7" s="32">
        <f>L7*12*0.355/100</f>
        <v>357.84</v>
      </c>
      <c r="AC7" s="43"/>
      <c r="AD7" s="44">
        <f t="shared" si="7"/>
        <v>0.16624649999999999</v>
      </c>
      <c r="AE7" s="39">
        <f t="shared" si="8"/>
        <v>0.8</v>
      </c>
      <c r="AF7" s="39">
        <f t="shared" si="23"/>
        <v>-0.63375350000000008</v>
      </c>
      <c r="AH7" s="175">
        <v>21.03</v>
      </c>
      <c r="AI7" s="175">
        <f t="shared" si="9"/>
        <v>7525.3751999999995</v>
      </c>
      <c r="AJ7" s="175">
        <f t="shared" si="10"/>
        <v>7.4656500000000001E-2</v>
      </c>
      <c r="AK7" s="175">
        <v>25.8</v>
      </c>
      <c r="AL7" s="175">
        <f t="shared" si="11"/>
        <v>9232.271999999999</v>
      </c>
      <c r="AM7" s="175">
        <f t="shared" si="12"/>
        <v>9.1589999999999991E-2</v>
      </c>
      <c r="AN7" s="7">
        <v>0</v>
      </c>
      <c r="AO7" s="137">
        <f t="shared" si="13"/>
        <v>0</v>
      </c>
      <c r="AP7" s="137">
        <f t="shared" si="14"/>
        <v>0</v>
      </c>
      <c r="AQ7" s="7">
        <f t="shared" si="15"/>
        <v>16757.647199999999</v>
      </c>
      <c r="AR7" s="7">
        <f t="shared" si="15"/>
        <v>0.16624649999999999</v>
      </c>
      <c r="AS7" s="40">
        <f t="shared" si="16"/>
        <v>80640</v>
      </c>
      <c r="AT7" s="40">
        <f t="shared" si="24"/>
        <v>-63882.352800000001</v>
      </c>
      <c r="AU7" s="7">
        <f t="shared" si="17"/>
        <v>3.94</v>
      </c>
      <c r="AV7" s="40">
        <f t="shared" si="18"/>
        <v>3.14</v>
      </c>
      <c r="AW7" s="41">
        <f t="shared" si="19"/>
        <v>0.30066815144766146</v>
      </c>
      <c r="AY7" s="150">
        <f t="shared" ref="AY7:AY18" si="26">X7*100%</f>
        <v>4.49</v>
      </c>
      <c r="AZ7" s="151">
        <f t="shared" ref="AZ7:AZ47" si="27">Y7*50%</f>
        <v>0</v>
      </c>
      <c r="BA7" s="160">
        <f t="shared" si="25"/>
        <v>4.49</v>
      </c>
      <c r="BB7" s="164"/>
      <c r="BD7" s="86" t="s">
        <v>106</v>
      </c>
      <c r="BE7" s="86" t="s">
        <v>263</v>
      </c>
      <c r="BF7" s="87" t="s">
        <v>264</v>
      </c>
      <c r="BG7" s="87">
        <v>387000650117</v>
      </c>
      <c r="BH7" s="86" t="s">
        <v>265</v>
      </c>
      <c r="BI7" s="86">
        <v>2222</v>
      </c>
      <c r="BJ7" s="86" t="s">
        <v>266</v>
      </c>
      <c r="BK7" s="86">
        <v>13312250</v>
      </c>
      <c r="BL7" s="86" t="s">
        <v>267</v>
      </c>
      <c r="BM7" s="86" t="s">
        <v>108</v>
      </c>
    </row>
    <row r="8" spans="1:65" ht="14.25" customHeight="1" thickBot="1" x14ac:dyDescent="0.25">
      <c r="A8" s="51">
        <f>0.275*12/100</f>
        <v>3.3000000000000002E-2</v>
      </c>
      <c r="B8" s="27" t="e">
        <f>VLOOKUP(F8,Planilha3!D:F,3,0)</f>
        <v>#N/A</v>
      </c>
      <c r="C8" s="47" t="e">
        <f t="shared" si="20"/>
        <v>#N/A</v>
      </c>
      <c r="D8" s="47" t="s">
        <v>82</v>
      </c>
      <c r="E8" s="47" t="s">
        <v>83</v>
      </c>
      <c r="F8" s="186">
        <v>904632</v>
      </c>
      <c r="G8" s="186">
        <v>1155684</v>
      </c>
      <c r="H8" s="187" t="s">
        <v>247</v>
      </c>
      <c r="I8" s="186">
        <v>12</v>
      </c>
      <c r="J8" s="186">
        <v>364</v>
      </c>
      <c r="K8" s="188">
        <f t="shared" si="0"/>
        <v>8736</v>
      </c>
      <c r="L8" s="125">
        <f>K8*2</f>
        <v>17472</v>
      </c>
      <c r="M8" s="178">
        <f t="shared" si="1"/>
        <v>48</v>
      </c>
      <c r="N8" s="84">
        <f t="shared" si="2"/>
        <v>2</v>
      </c>
      <c r="O8" s="148">
        <v>39.26</v>
      </c>
      <c r="P8" s="135">
        <f t="shared" si="21"/>
        <v>3.2716666666666665</v>
      </c>
      <c r="Q8" s="13">
        <f t="shared" si="3"/>
        <v>1.2000000000000002</v>
      </c>
      <c r="R8" s="13">
        <v>0.1</v>
      </c>
      <c r="S8" s="74">
        <f t="shared" si="4"/>
        <v>1.56</v>
      </c>
      <c r="T8" s="74">
        <v>0.13</v>
      </c>
      <c r="U8" s="121">
        <f t="shared" si="22"/>
        <v>0.23</v>
      </c>
      <c r="V8" s="121">
        <v>0.23</v>
      </c>
      <c r="W8" s="36">
        <v>3.99</v>
      </c>
      <c r="X8" s="36">
        <v>3.49</v>
      </c>
      <c r="Y8" s="36"/>
      <c r="Z8" s="45">
        <f t="shared" si="5"/>
        <v>48222.720000000001</v>
      </c>
      <c r="AA8" s="8">
        <f t="shared" si="6"/>
        <v>685950.72</v>
      </c>
      <c r="AB8" s="32">
        <f>L8*12*0.275/100</f>
        <v>576.57600000000002</v>
      </c>
      <c r="AC8" s="43"/>
      <c r="AD8" s="44">
        <f t="shared" si="7"/>
        <v>0.23773750000000002</v>
      </c>
      <c r="AE8" s="39">
        <f t="shared" si="8"/>
        <v>0.23</v>
      </c>
      <c r="AF8" s="39">
        <f t="shared" si="23"/>
        <v>7.7375000000000083E-3</v>
      </c>
      <c r="AH8" s="175">
        <v>86.45</v>
      </c>
      <c r="AI8" s="175">
        <f t="shared" si="9"/>
        <v>49844.995200000005</v>
      </c>
      <c r="AJ8" s="175">
        <f t="shared" si="10"/>
        <v>0.23773750000000002</v>
      </c>
      <c r="AK8" s="137">
        <v>0</v>
      </c>
      <c r="AL8" s="137">
        <f t="shared" si="11"/>
        <v>0</v>
      </c>
      <c r="AM8" s="137">
        <f t="shared" si="12"/>
        <v>0</v>
      </c>
      <c r="AN8" s="7">
        <v>0</v>
      </c>
      <c r="AO8" s="137">
        <f t="shared" si="13"/>
        <v>0</v>
      </c>
      <c r="AP8" s="137">
        <f t="shared" si="14"/>
        <v>0</v>
      </c>
      <c r="AQ8" s="7">
        <f t="shared" si="15"/>
        <v>49844.995200000005</v>
      </c>
      <c r="AR8" s="7">
        <f t="shared" si="15"/>
        <v>0.23773750000000002</v>
      </c>
      <c r="AS8" s="40">
        <f t="shared" si="16"/>
        <v>48222.720000000001</v>
      </c>
      <c r="AT8" s="40">
        <f t="shared" si="24"/>
        <v>1622.2752000000037</v>
      </c>
      <c r="AU8" s="7">
        <f t="shared" si="17"/>
        <v>3.2716666666666665</v>
      </c>
      <c r="AV8" s="40">
        <f t="shared" si="18"/>
        <v>3.0416666666666665</v>
      </c>
      <c r="AW8" s="41">
        <f t="shared" si="19"/>
        <v>0.12846227316141365</v>
      </c>
      <c r="AY8" s="150">
        <f t="shared" si="26"/>
        <v>3.49</v>
      </c>
      <c r="AZ8" s="151">
        <f t="shared" si="27"/>
        <v>0</v>
      </c>
      <c r="BA8" s="160">
        <f t="shared" si="25"/>
        <v>3.49</v>
      </c>
      <c r="BB8" s="164"/>
      <c r="BD8" s="86" t="s">
        <v>106</v>
      </c>
      <c r="BE8" s="86" t="s">
        <v>263</v>
      </c>
      <c r="BF8" s="87" t="s">
        <v>264</v>
      </c>
      <c r="BG8" s="87">
        <v>387000650117</v>
      </c>
      <c r="BH8" s="86" t="s">
        <v>265</v>
      </c>
      <c r="BI8" s="86">
        <v>2222</v>
      </c>
      <c r="BJ8" s="86" t="s">
        <v>266</v>
      </c>
      <c r="BK8" s="86">
        <v>13312250</v>
      </c>
      <c r="BL8" s="86" t="s">
        <v>267</v>
      </c>
      <c r="BM8" s="86" t="s">
        <v>108</v>
      </c>
    </row>
    <row r="9" spans="1:65" ht="14.25" customHeight="1" thickBot="1" x14ac:dyDescent="0.25">
      <c r="A9" s="51">
        <f>0.275*12/100</f>
        <v>3.3000000000000002E-2</v>
      </c>
      <c r="B9" s="27">
        <f>VLOOKUP(F9,Planilha3!D:F,3,0)</f>
        <v>7.6058014710560764</v>
      </c>
      <c r="C9" s="47">
        <f t="shared" si="20"/>
        <v>230.47883245624473</v>
      </c>
      <c r="D9" s="47" t="s">
        <v>82</v>
      </c>
      <c r="E9" s="47" t="s">
        <v>83</v>
      </c>
      <c r="F9" s="186">
        <v>904631</v>
      </c>
      <c r="G9" s="186">
        <v>1160860</v>
      </c>
      <c r="H9" s="187" t="s">
        <v>29</v>
      </c>
      <c r="I9" s="186">
        <v>12</v>
      </c>
      <c r="J9" s="186">
        <v>196</v>
      </c>
      <c r="K9" s="188">
        <f t="shared" si="0"/>
        <v>4704</v>
      </c>
      <c r="L9" s="125">
        <f>K9*1</f>
        <v>4704</v>
      </c>
      <c r="M9" s="179">
        <f t="shared" si="1"/>
        <v>24</v>
      </c>
      <c r="N9" s="84">
        <f t="shared" si="2"/>
        <v>1</v>
      </c>
      <c r="O9" s="148">
        <v>47.13</v>
      </c>
      <c r="P9" s="135">
        <f t="shared" si="21"/>
        <v>3.9275000000000002</v>
      </c>
      <c r="Q9" s="9">
        <f t="shared" si="3"/>
        <v>0</v>
      </c>
      <c r="R9" s="9">
        <v>0</v>
      </c>
      <c r="S9" s="29">
        <f t="shared" si="4"/>
        <v>0</v>
      </c>
      <c r="T9" s="29">
        <v>0</v>
      </c>
      <c r="U9" s="121">
        <f t="shared" si="22"/>
        <v>0</v>
      </c>
      <c r="V9" s="121">
        <v>0</v>
      </c>
      <c r="W9" s="36">
        <f>VLOOKUP(F9,'[1]Proposta HNK para Tenda'!$F:$T,15,0)</f>
        <v>4.7900000000000009</v>
      </c>
      <c r="X9" s="36">
        <f>VLOOKUP(F9,'[1]Proposta HNK para Tenda'!$F:$U,16,0)</f>
        <v>4.7900000000000009</v>
      </c>
      <c r="Y9" s="36"/>
      <c r="Z9" s="45">
        <f t="shared" si="5"/>
        <v>0</v>
      </c>
      <c r="AA9" s="8">
        <f t="shared" si="6"/>
        <v>221699.52000000002</v>
      </c>
      <c r="AB9" s="32">
        <f>L9*12*0.275/100</f>
        <v>155.232</v>
      </c>
      <c r="AC9" s="43"/>
      <c r="AD9" s="44">
        <f t="shared" si="7"/>
        <v>0</v>
      </c>
      <c r="AE9" s="39">
        <f t="shared" si="8"/>
        <v>0</v>
      </c>
      <c r="AF9" s="39">
        <f t="shared" si="23"/>
        <v>0</v>
      </c>
      <c r="AH9" s="137">
        <v>0</v>
      </c>
      <c r="AI9" s="7">
        <f t="shared" si="9"/>
        <v>0</v>
      </c>
      <c r="AJ9" s="7">
        <f t="shared" si="10"/>
        <v>0</v>
      </c>
      <c r="AK9" s="7"/>
      <c r="AL9" s="7">
        <f t="shared" si="11"/>
        <v>0</v>
      </c>
      <c r="AM9" s="7">
        <f t="shared" si="12"/>
        <v>0</v>
      </c>
      <c r="AN9" s="7">
        <v>0</v>
      </c>
      <c r="AO9" s="137">
        <f t="shared" si="13"/>
        <v>0</v>
      </c>
      <c r="AP9" s="137">
        <f t="shared" si="14"/>
        <v>0</v>
      </c>
      <c r="AQ9" s="7">
        <f t="shared" si="15"/>
        <v>0</v>
      </c>
      <c r="AR9" s="7">
        <f t="shared" si="15"/>
        <v>0</v>
      </c>
      <c r="AS9" s="40">
        <f t="shared" si="16"/>
        <v>0</v>
      </c>
      <c r="AT9" s="40">
        <f t="shared" si="24"/>
        <v>0</v>
      </c>
      <c r="AU9" s="7">
        <f t="shared" si="17"/>
        <v>3.9275000000000002</v>
      </c>
      <c r="AV9" s="40">
        <f t="shared" si="18"/>
        <v>3.9275000000000002</v>
      </c>
      <c r="AW9" s="41">
        <f t="shared" si="19"/>
        <v>0.18006263048016713</v>
      </c>
      <c r="AY9" s="150">
        <f t="shared" si="26"/>
        <v>4.7900000000000009</v>
      </c>
      <c r="AZ9" s="151">
        <f t="shared" si="27"/>
        <v>0</v>
      </c>
      <c r="BA9" s="160">
        <f t="shared" si="25"/>
        <v>4.7900000000000009</v>
      </c>
      <c r="BB9" s="164"/>
      <c r="BD9" s="86" t="s">
        <v>106</v>
      </c>
      <c r="BE9" s="86" t="s">
        <v>263</v>
      </c>
      <c r="BF9" s="87" t="s">
        <v>264</v>
      </c>
      <c r="BG9" s="87">
        <v>387000650117</v>
      </c>
      <c r="BH9" s="86" t="s">
        <v>265</v>
      </c>
      <c r="BI9" s="86">
        <v>2222</v>
      </c>
      <c r="BJ9" s="86" t="s">
        <v>266</v>
      </c>
      <c r="BK9" s="86">
        <v>13312250</v>
      </c>
      <c r="BL9" s="86" t="s">
        <v>267</v>
      </c>
      <c r="BM9" s="86" t="s">
        <v>108</v>
      </c>
    </row>
    <row r="10" spans="1:65" ht="14.25" customHeight="1" thickBot="1" x14ac:dyDescent="0.25">
      <c r="A10" s="50">
        <v>3.2280000000000003E-2</v>
      </c>
      <c r="B10" s="27">
        <f>VLOOKUP(F10,Planilha3!D:F,3,0)</f>
        <v>113.71404514006571</v>
      </c>
      <c r="C10" s="47">
        <f t="shared" si="20"/>
        <v>3522.7399361854305</v>
      </c>
      <c r="D10" s="47" t="s">
        <v>74</v>
      </c>
      <c r="E10" s="47" t="s">
        <v>79</v>
      </c>
      <c r="F10" s="20">
        <v>904194</v>
      </c>
      <c r="G10" s="20">
        <v>1153719</v>
      </c>
      <c r="H10" s="11" t="s">
        <v>12</v>
      </c>
      <c r="I10" s="20">
        <v>12</v>
      </c>
      <c r="J10" s="20">
        <v>364</v>
      </c>
      <c r="K10" s="123">
        <f t="shared" si="0"/>
        <v>8736</v>
      </c>
      <c r="L10" s="125">
        <v>8736</v>
      </c>
      <c r="M10" s="179">
        <f t="shared" si="1"/>
        <v>24</v>
      </c>
      <c r="N10" s="84">
        <f t="shared" si="2"/>
        <v>1</v>
      </c>
      <c r="O10" s="148">
        <v>31.52</v>
      </c>
      <c r="P10" s="135">
        <f t="shared" si="21"/>
        <v>2.6266666666666665</v>
      </c>
      <c r="Q10" s="9">
        <f t="shared" si="3"/>
        <v>0</v>
      </c>
      <c r="R10" s="9">
        <v>0</v>
      </c>
      <c r="S10" s="29">
        <f t="shared" si="4"/>
        <v>0</v>
      </c>
      <c r="T10" s="29">
        <v>0</v>
      </c>
      <c r="U10" s="121">
        <f t="shared" si="22"/>
        <v>0</v>
      </c>
      <c r="V10" s="121">
        <v>0</v>
      </c>
      <c r="W10" s="36">
        <v>3.0900000000000003</v>
      </c>
      <c r="X10" s="36">
        <v>3.0900000000000003</v>
      </c>
      <c r="Y10" s="36"/>
      <c r="Z10" s="45">
        <f t="shared" si="5"/>
        <v>0</v>
      </c>
      <c r="AA10" s="8">
        <f t="shared" si="6"/>
        <v>275358.71999999997</v>
      </c>
      <c r="AB10" s="32">
        <f>L10*12*0.269/100</f>
        <v>281.99808000000002</v>
      </c>
      <c r="AC10" s="43"/>
      <c r="AD10" s="44">
        <f t="shared" si="7"/>
        <v>0</v>
      </c>
      <c r="AE10" s="39">
        <f t="shared" si="8"/>
        <v>0</v>
      </c>
      <c r="AF10" s="39">
        <f t="shared" si="23"/>
        <v>0</v>
      </c>
      <c r="AH10" s="137">
        <v>0</v>
      </c>
      <c r="AI10" s="137">
        <f t="shared" si="9"/>
        <v>0</v>
      </c>
      <c r="AJ10" s="137">
        <f t="shared" si="10"/>
        <v>0</v>
      </c>
      <c r="AK10" s="7"/>
      <c r="AL10" s="7">
        <f t="shared" si="11"/>
        <v>0</v>
      </c>
      <c r="AM10" s="7">
        <f t="shared" si="12"/>
        <v>0</v>
      </c>
      <c r="AN10" s="143">
        <v>0</v>
      </c>
      <c r="AO10" s="143">
        <f t="shared" si="13"/>
        <v>0</v>
      </c>
      <c r="AP10" s="143">
        <f t="shared" si="14"/>
        <v>0</v>
      </c>
      <c r="AQ10" s="7">
        <f t="shared" si="15"/>
        <v>0</v>
      </c>
      <c r="AR10" s="7">
        <f t="shared" si="15"/>
        <v>0</v>
      </c>
      <c r="AS10" s="40">
        <f t="shared" si="16"/>
        <v>0</v>
      </c>
      <c r="AT10" s="40">
        <f t="shared" si="24"/>
        <v>0</v>
      </c>
      <c r="AU10" s="7">
        <f t="shared" si="17"/>
        <v>2.6266666666666665</v>
      </c>
      <c r="AV10" s="40">
        <f t="shared" si="18"/>
        <v>2.6266666666666665</v>
      </c>
      <c r="AW10" s="41">
        <f t="shared" si="19"/>
        <v>0.14994606256742193</v>
      </c>
      <c r="AY10" s="150">
        <f t="shared" si="26"/>
        <v>3.0900000000000003</v>
      </c>
      <c r="AZ10" s="151">
        <f t="shared" si="27"/>
        <v>0</v>
      </c>
      <c r="BA10" s="160">
        <f t="shared" si="25"/>
        <v>3.0900000000000003</v>
      </c>
      <c r="BB10" s="164"/>
      <c r="BD10" s="86" t="s">
        <v>106</v>
      </c>
      <c r="BE10" s="86" t="s">
        <v>263</v>
      </c>
      <c r="BF10" s="87" t="s">
        <v>264</v>
      </c>
      <c r="BG10" s="87">
        <v>387000650117</v>
      </c>
      <c r="BH10" s="86" t="s">
        <v>265</v>
      </c>
      <c r="BI10" s="86">
        <v>2222</v>
      </c>
      <c r="BJ10" s="86" t="s">
        <v>266</v>
      </c>
      <c r="BK10" s="86">
        <v>13312250</v>
      </c>
      <c r="BL10" s="86" t="s">
        <v>267</v>
      </c>
      <c r="BM10" s="86" t="s">
        <v>108</v>
      </c>
    </row>
    <row r="11" spans="1:65" ht="14.25" customHeight="1" thickBot="1" x14ac:dyDescent="0.25">
      <c r="A11" s="51">
        <v>4.2000000000000003E-2</v>
      </c>
      <c r="B11" s="27">
        <f>VLOOKUP(F11,Planilha3!D:F,3,0)</f>
        <v>719.1538244488064</v>
      </c>
      <c r="C11" s="47">
        <f t="shared" si="20"/>
        <v>17122.710105923961</v>
      </c>
      <c r="D11" s="47" t="s">
        <v>74</v>
      </c>
      <c r="E11" s="47" t="s">
        <v>79</v>
      </c>
      <c r="F11" s="20">
        <v>903750</v>
      </c>
      <c r="G11" s="20">
        <v>1055249</v>
      </c>
      <c r="H11" s="11" t="s">
        <v>11</v>
      </c>
      <c r="I11" s="20">
        <v>12</v>
      </c>
      <c r="J11" s="20">
        <v>280</v>
      </c>
      <c r="K11" s="123">
        <f t="shared" si="0"/>
        <v>6720</v>
      </c>
      <c r="L11" s="125">
        <v>13440</v>
      </c>
      <c r="M11" s="179">
        <f t="shared" si="1"/>
        <v>48</v>
      </c>
      <c r="N11" s="84">
        <f t="shared" si="2"/>
        <v>2</v>
      </c>
      <c r="O11" s="148">
        <v>40.700000000000003</v>
      </c>
      <c r="P11" s="135">
        <f t="shared" si="21"/>
        <v>3.3916666666666671</v>
      </c>
      <c r="Q11" s="13">
        <f t="shared" si="3"/>
        <v>0</v>
      </c>
      <c r="R11" s="13">
        <v>0</v>
      </c>
      <c r="S11" s="74">
        <f t="shared" si="4"/>
        <v>0</v>
      </c>
      <c r="T11" s="74">
        <v>0</v>
      </c>
      <c r="U11" s="121">
        <f t="shared" si="22"/>
        <v>0</v>
      </c>
      <c r="V11" s="121">
        <v>0</v>
      </c>
      <c r="W11" s="36">
        <v>3.99</v>
      </c>
      <c r="X11" s="36">
        <v>3.99</v>
      </c>
      <c r="Y11" s="36"/>
      <c r="Z11" s="45">
        <f t="shared" si="5"/>
        <v>0</v>
      </c>
      <c r="AA11" s="8">
        <f t="shared" si="6"/>
        <v>547008</v>
      </c>
      <c r="AB11" s="32">
        <f>L11*12*0.35/100</f>
        <v>564.48</v>
      </c>
      <c r="AC11" s="43"/>
      <c r="AD11" s="44">
        <f t="shared" si="7"/>
        <v>0</v>
      </c>
      <c r="AE11" s="39">
        <f t="shared" si="8"/>
        <v>0</v>
      </c>
      <c r="AF11" s="39">
        <f t="shared" si="23"/>
        <v>0</v>
      </c>
      <c r="AH11" s="137">
        <v>0</v>
      </c>
      <c r="AI11" s="137">
        <f t="shared" si="9"/>
        <v>0</v>
      </c>
      <c r="AJ11" s="137">
        <f t="shared" si="10"/>
        <v>0</v>
      </c>
      <c r="AK11" s="7"/>
      <c r="AL11" s="7">
        <f t="shared" si="11"/>
        <v>0</v>
      </c>
      <c r="AM11" s="7">
        <f t="shared" si="12"/>
        <v>0</v>
      </c>
      <c r="AN11" s="143">
        <v>0</v>
      </c>
      <c r="AO11" s="143">
        <f t="shared" si="13"/>
        <v>0</v>
      </c>
      <c r="AP11" s="143">
        <f t="shared" si="14"/>
        <v>0</v>
      </c>
      <c r="AQ11" s="7">
        <f t="shared" si="15"/>
        <v>0</v>
      </c>
      <c r="AR11" s="7">
        <f t="shared" si="15"/>
        <v>0</v>
      </c>
      <c r="AS11" s="40">
        <f t="shared" si="16"/>
        <v>0</v>
      </c>
      <c r="AT11" s="40">
        <f t="shared" si="24"/>
        <v>0</v>
      </c>
      <c r="AU11" s="7">
        <f t="shared" si="17"/>
        <v>3.3916666666666671</v>
      </c>
      <c r="AV11" s="40">
        <f t="shared" si="18"/>
        <v>3.3916666666666671</v>
      </c>
      <c r="AW11" s="41">
        <f t="shared" si="19"/>
        <v>0.14995822890559726</v>
      </c>
      <c r="AY11" s="150">
        <f t="shared" si="26"/>
        <v>3.99</v>
      </c>
      <c r="AZ11" s="151">
        <f t="shared" si="27"/>
        <v>0</v>
      </c>
      <c r="BA11" s="160">
        <f t="shared" si="25"/>
        <v>3.99</v>
      </c>
      <c r="BB11" s="164"/>
      <c r="BD11" s="86" t="s">
        <v>106</v>
      </c>
      <c r="BE11" s="86" t="s">
        <v>263</v>
      </c>
      <c r="BF11" s="87" t="s">
        <v>264</v>
      </c>
      <c r="BG11" s="87">
        <v>387000650117</v>
      </c>
      <c r="BH11" s="86" t="s">
        <v>265</v>
      </c>
      <c r="BI11" s="86">
        <v>2222</v>
      </c>
      <c r="BJ11" s="86" t="s">
        <v>266</v>
      </c>
      <c r="BK11" s="86">
        <v>13312250</v>
      </c>
      <c r="BL11" s="86" t="s">
        <v>267</v>
      </c>
      <c r="BM11" s="86" t="s">
        <v>108</v>
      </c>
    </row>
    <row r="12" spans="1:65" ht="14.25" customHeight="1" thickBot="1" x14ac:dyDescent="0.25">
      <c r="A12" s="50">
        <v>4.2599999999999999E-2</v>
      </c>
      <c r="B12" s="27">
        <f>VLOOKUP(F12,Planilha3!D:F,3,0)</f>
        <v>44.325776915420867</v>
      </c>
      <c r="C12" s="47">
        <f t="shared" si="20"/>
        <v>1040.511195197673</v>
      </c>
      <c r="D12" s="47" t="s">
        <v>74</v>
      </c>
      <c r="E12" s="47" t="s">
        <v>79</v>
      </c>
      <c r="F12" s="20">
        <v>901781</v>
      </c>
      <c r="G12" s="20">
        <v>1016972</v>
      </c>
      <c r="H12" s="11" t="s">
        <v>10</v>
      </c>
      <c r="I12" s="20">
        <v>12</v>
      </c>
      <c r="J12" s="20">
        <v>175</v>
      </c>
      <c r="K12" s="123">
        <f t="shared" si="0"/>
        <v>4200</v>
      </c>
      <c r="L12" s="125">
        <v>58800</v>
      </c>
      <c r="M12" s="179">
        <f t="shared" si="1"/>
        <v>336</v>
      </c>
      <c r="N12" s="84">
        <f t="shared" si="2"/>
        <v>14</v>
      </c>
      <c r="O12" s="148">
        <v>51.92</v>
      </c>
      <c r="P12" s="135">
        <f t="shared" si="21"/>
        <v>4.3266666666666671</v>
      </c>
      <c r="Q12" s="13">
        <f t="shared" si="3"/>
        <v>3</v>
      </c>
      <c r="R12" s="13">
        <v>0.25</v>
      </c>
      <c r="S12" s="74">
        <f t="shared" si="4"/>
        <v>0.36</v>
      </c>
      <c r="T12" s="74">
        <v>0.03</v>
      </c>
      <c r="U12" s="121">
        <f t="shared" si="22"/>
        <v>0.28000000000000003</v>
      </c>
      <c r="V12" s="121">
        <v>0.28000000000000003</v>
      </c>
      <c r="W12" s="36">
        <v>5.0900000000000007</v>
      </c>
      <c r="X12" s="36">
        <v>4.1900000000000004</v>
      </c>
      <c r="Y12" s="36"/>
      <c r="Z12" s="45">
        <f t="shared" si="5"/>
        <v>197568</v>
      </c>
      <c r="AA12" s="8">
        <f t="shared" si="6"/>
        <v>3052896</v>
      </c>
      <c r="AB12" s="32">
        <f>L12*12*0.355/100</f>
        <v>2504.88</v>
      </c>
      <c r="AC12" s="43"/>
      <c r="AD12" s="44">
        <f t="shared" si="7"/>
        <v>0.28826000000000002</v>
      </c>
      <c r="AE12" s="39">
        <f t="shared" si="8"/>
        <v>0.28000000000000003</v>
      </c>
      <c r="AF12" s="39">
        <f t="shared" si="23"/>
        <v>8.2599999999999896E-3</v>
      </c>
      <c r="AH12" s="175">
        <v>81.2</v>
      </c>
      <c r="AI12" s="175">
        <f t="shared" si="9"/>
        <v>203396.25600000002</v>
      </c>
      <c r="AJ12" s="175">
        <f t="shared" si="10"/>
        <v>0.28826000000000002</v>
      </c>
      <c r="AK12" s="7"/>
      <c r="AL12" s="7">
        <f t="shared" si="11"/>
        <v>0</v>
      </c>
      <c r="AM12" s="7">
        <f t="shared" si="12"/>
        <v>0</v>
      </c>
      <c r="AN12" s="7">
        <v>0</v>
      </c>
      <c r="AO12" s="137">
        <f t="shared" si="13"/>
        <v>0</v>
      </c>
      <c r="AP12" s="137">
        <f t="shared" si="14"/>
        <v>0</v>
      </c>
      <c r="AQ12" s="7">
        <f t="shared" si="15"/>
        <v>203396.25600000002</v>
      </c>
      <c r="AR12" s="7">
        <f t="shared" si="15"/>
        <v>0.28826000000000002</v>
      </c>
      <c r="AS12" s="40">
        <f t="shared" si="16"/>
        <v>197568</v>
      </c>
      <c r="AT12" s="40">
        <f t="shared" si="24"/>
        <v>5828.2560000000231</v>
      </c>
      <c r="AU12" s="7">
        <f t="shared" si="17"/>
        <v>4.3266666666666671</v>
      </c>
      <c r="AV12" s="40">
        <f t="shared" si="18"/>
        <v>4.0466666666666669</v>
      </c>
      <c r="AW12" s="41">
        <f t="shared" si="19"/>
        <v>3.4208432776451914E-2</v>
      </c>
      <c r="AY12" s="150">
        <f t="shared" si="26"/>
        <v>4.1900000000000004</v>
      </c>
      <c r="AZ12" s="151">
        <f t="shared" si="27"/>
        <v>0</v>
      </c>
      <c r="BA12" s="160">
        <f t="shared" si="25"/>
        <v>4.1900000000000004</v>
      </c>
      <c r="BB12" s="164"/>
      <c r="BD12" s="86" t="s">
        <v>106</v>
      </c>
      <c r="BE12" s="86" t="s">
        <v>263</v>
      </c>
      <c r="BF12" s="87" t="s">
        <v>264</v>
      </c>
      <c r="BG12" s="87">
        <v>387000650117</v>
      </c>
      <c r="BH12" s="86" t="s">
        <v>265</v>
      </c>
      <c r="BI12" s="86">
        <v>2222</v>
      </c>
      <c r="BJ12" s="86" t="s">
        <v>266</v>
      </c>
      <c r="BK12" s="86">
        <v>13312250</v>
      </c>
      <c r="BL12" s="86" t="s">
        <v>267</v>
      </c>
      <c r="BM12" s="86" t="s">
        <v>108</v>
      </c>
    </row>
    <row r="13" spans="1:65" ht="14.25" customHeight="1" thickBot="1" x14ac:dyDescent="0.25">
      <c r="A13" s="51">
        <v>4.2000000000000003E-2</v>
      </c>
      <c r="B13" s="27">
        <f>VLOOKUP(F13,Planilha3!D:F,3,0)</f>
        <v>32.202739533816178</v>
      </c>
      <c r="C13" s="47">
        <f t="shared" si="20"/>
        <v>766.73189366228996</v>
      </c>
      <c r="D13" s="47" t="s">
        <v>74</v>
      </c>
      <c r="E13" s="47" t="s">
        <v>79</v>
      </c>
      <c r="F13" s="20">
        <v>904772</v>
      </c>
      <c r="G13" s="20">
        <v>1170146</v>
      </c>
      <c r="H13" s="11" t="s">
        <v>9</v>
      </c>
      <c r="I13" s="20">
        <v>12</v>
      </c>
      <c r="J13" s="20">
        <v>280</v>
      </c>
      <c r="K13" s="123">
        <f t="shared" si="0"/>
        <v>6720</v>
      </c>
      <c r="L13" s="125">
        <v>6720</v>
      </c>
      <c r="M13" s="179">
        <f t="shared" si="1"/>
        <v>24</v>
      </c>
      <c r="N13" s="84">
        <f t="shared" si="2"/>
        <v>1</v>
      </c>
      <c r="O13" s="148">
        <v>40.700000000000003</v>
      </c>
      <c r="P13" s="135">
        <f t="shared" si="21"/>
        <v>3.3916666666666671</v>
      </c>
      <c r="Q13" s="9">
        <f t="shared" si="3"/>
        <v>0</v>
      </c>
      <c r="R13" s="9">
        <v>0</v>
      </c>
      <c r="S13" s="74">
        <f t="shared" si="4"/>
        <v>0</v>
      </c>
      <c r="T13" s="74">
        <v>0</v>
      </c>
      <c r="U13" s="121">
        <f t="shared" si="22"/>
        <v>0</v>
      </c>
      <c r="V13" s="121">
        <v>0</v>
      </c>
      <c r="W13" s="36">
        <v>3.99</v>
      </c>
      <c r="X13" s="36">
        <v>3.99</v>
      </c>
      <c r="Y13" s="36"/>
      <c r="Z13" s="45">
        <f t="shared" si="5"/>
        <v>0</v>
      </c>
      <c r="AA13" s="8">
        <f t="shared" si="6"/>
        <v>273504</v>
      </c>
      <c r="AB13" s="32">
        <f>L13*12*0.35/100</f>
        <v>282.24</v>
      </c>
      <c r="AC13" s="43"/>
      <c r="AD13" s="44">
        <f t="shared" si="7"/>
        <v>0</v>
      </c>
      <c r="AE13" s="39">
        <f t="shared" si="8"/>
        <v>0</v>
      </c>
      <c r="AF13" s="39">
        <f t="shared" si="23"/>
        <v>0</v>
      </c>
      <c r="AH13" s="137">
        <v>0</v>
      </c>
      <c r="AI13" s="137">
        <f t="shared" si="9"/>
        <v>0</v>
      </c>
      <c r="AJ13" s="137">
        <f t="shared" si="10"/>
        <v>0</v>
      </c>
      <c r="AK13" s="7"/>
      <c r="AL13" s="7">
        <f t="shared" si="11"/>
        <v>0</v>
      </c>
      <c r="AM13" s="7">
        <f t="shared" si="12"/>
        <v>0</v>
      </c>
      <c r="AN13" s="143">
        <v>0</v>
      </c>
      <c r="AO13" s="143">
        <f t="shared" si="13"/>
        <v>0</v>
      </c>
      <c r="AP13" s="143">
        <f t="shared" si="14"/>
        <v>0</v>
      </c>
      <c r="AQ13" s="7">
        <f t="shared" si="15"/>
        <v>0</v>
      </c>
      <c r="AR13" s="7">
        <f t="shared" si="15"/>
        <v>0</v>
      </c>
      <c r="AS13" s="40">
        <f t="shared" si="16"/>
        <v>0</v>
      </c>
      <c r="AT13" s="40">
        <f t="shared" si="24"/>
        <v>0</v>
      </c>
      <c r="AU13" s="7">
        <f t="shared" si="17"/>
        <v>3.3916666666666671</v>
      </c>
      <c r="AV13" s="40">
        <f t="shared" si="18"/>
        <v>3.3916666666666671</v>
      </c>
      <c r="AW13" s="41">
        <f t="shared" si="19"/>
        <v>0.14995822890559726</v>
      </c>
      <c r="AY13" s="150">
        <f t="shared" si="26"/>
        <v>3.99</v>
      </c>
      <c r="AZ13" s="151">
        <f t="shared" si="27"/>
        <v>0</v>
      </c>
      <c r="BA13" s="160">
        <f t="shared" si="25"/>
        <v>3.99</v>
      </c>
      <c r="BB13" s="164"/>
      <c r="BD13" s="86" t="s">
        <v>106</v>
      </c>
      <c r="BE13" s="86" t="s">
        <v>263</v>
      </c>
      <c r="BF13" s="87" t="s">
        <v>264</v>
      </c>
      <c r="BG13" s="87">
        <v>387000650117</v>
      </c>
      <c r="BH13" s="86" t="s">
        <v>265</v>
      </c>
      <c r="BI13" s="86">
        <v>2222</v>
      </c>
      <c r="BJ13" s="86" t="s">
        <v>266</v>
      </c>
      <c r="BK13" s="86">
        <v>13312250</v>
      </c>
      <c r="BL13" s="86" t="s">
        <v>267</v>
      </c>
      <c r="BM13" s="86" t="s">
        <v>108</v>
      </c>
    </row>
    <row r="14" spans="1:65" ht="14.25" customHeight="1" thickBot="1" x14ac:dyDescent="0.25">
      <c r="A14" s="50">
        <v>4.2599999999999999E-2</v>
      </c>
      <c r="B14" s="27">
        <f>VLOOKUP(F14,Planilha3!D:F,3,0)</f>
        <v>1.8908876264095478</v>
      </c>
      <c r="C14" s="47">
        <f t="shared" si="20"/>
        <v>44.387033483792202</v>
      </c>
      <c r="D14" s="47" t="s">
        <v>74</v>
      </c>
      <c r="E14" s="47" t="s">
        <v>79</v>
      </c>
      <c r="F14" s="186">
        <v>904771</v>
      </c>
      <c r="G14" s="186">
        <v>1170180</v>
      </c>
      <c r="H14" s="187" t="s">
        <v>8</v>
      </c>
      <c r="I14" s="186">
        <v>12</v>
      </c>
      <c r="J14" s="186">
        <v>175</v>
      </c>
      <c r="K14" s="188">
        <f t="shared" si="0"/>
        <v>4200</v>
      </c>
      <c r="L14" s="125">
        <f>J14*10</f>
        <v>1750</v>
      </c>
      <c r="M14" s="178">
        <f t="shared" si="1"/>
        <v>10</v>
      </c>
      <c r="N14" s="84">
        <f t="shared" si="2"/>
        <v>0.41666666666666669</v>
      </c>
      <c r="O14" s="148">
        <v>51.92</v>
      </c>
      <c r="P14" s="135">
        <f t="shared" si="21"/>
        <v>4.3266666666666671</v>
      </c>
      <c r="Q14" s="13">
        <f t="shared" si="3"/>
        <v>3</v>
      </c>
      <c r="R14" s="13">
        <v>0.25</v>
      </c>
      <c r="S14" s="74">
        <f t="shared" si="4"/>
        <v>0.36</v>
      </c>
      <c r="T14" s="74">
        <v>0.03</v>
      </c>
      <c r="U14" s="121">
        <f t="shared" si="22"/>
        <v>0.28000000000000003</v>
      </c>
      <c r="V14" s="121">
        <v>0.28000000000000003</v>
      </c>
      <c r="W14" s="139">
        <v>5.0900000000000007</v>
      </c>
      <c r="X14" s="139">
        <v>4.1900000000000004</v>
      </c>
      <c r="Y14" s="139"/>
      <c r="Z14" s="140">
        <f t="shared" si="5"/>
        <v>5880</v>
      </c>
      <c r="AA14" s="141">
        <f t="shared" si="6"/>
        <v>90860</v>
      </c>
      <c r="AB14" s="32">
        <f>L14*12*0.355/100</f>
        <v>74.55</v>
      </c>
      <c r="AC14" s="43"/>
      <c r="AD14" s="44">
        <f t="shared" si="7"/>
        <v>0.28826000000000002</v>
      </c>
      <c r="AE14" s="39">
        <f t="shared" si="8"/>
        <v>0.28000000000000003</v>
      </c>
      <c r="AF14" s="39">
        <f t="shared" si="23"/>
        <v>8.2599999999999896E-3</v>
      </c>
      <c r="AH14" s="175">
        <v>81.2</v>
      </c>
      <c r="AI14" s="175">
        <f t="shared" si="9"/>
        <v>6053.46</v>
      </c>
      <c r="AJ14" s="175">
        <f t="shared" si="10"/>
        <v>0.28826000000000002</v>
      </c>
      <c r="AK14" s="7"/>
      <c r="AL14" s="7">
        <f t="shared" si="11"/>
        <v>0</v>
      </c>
      <c r="AM14" s="7">
        <f t="shared" si="12"/>
        <v>0</v>
      </c>
      <c r="AN14" s="7">
        <v>0</v>
      </c>
      <c r="AO14" s="142">
        <f t="shared" si="13"/>
        <v>0</v>
      </c>
      <c r="AP14" s="142">
        <f t="shared" si="14"/>
        <v>0</v>
      </c>
      <c r="AQ14" s="7">
        <f t="shared" si="15"/>
        <v>6053.46</v>
      </c>
      <c r="AR14" s="7">
        <f t="shared" si="15"/>
        <v>0.28826000000000002</v>
      </c>
      <c r="AS14" s="40">
        <f t="shared" si="16"/>
        <v>5880</v>
      </c>
      <c r="AT14" s="40">
        <f t="shared" si="24"/>
        <v>173.46000000000004</v>
      </c>
      <c r="AU14" s="7">
        <f t="shared" si="17"/>
        <v>4.3266666666666671</v>
      </c>
      <c r="AV14" s="40">
        <f t="shared" si="18"/>
        <v>4.0466666666666669</v>
      </c>
      <c r="AW14" s="41">
        <f t="shared" si="19"/>
        <v>3.4208432776451914E-2</v>
      </c>
      <c r="AY14" s="150">
        <f t="shared" si="26"/>
        <v>4.1900000000000004</v>
      </c>
      <c r="AZ14" s="151">
        <f t="shared" si="27"/>
        <v>0</v>
      </c>
      <c r="BA14" s="160">
        <f t="shared" si="25"/>
        <v>4.1900000000000004</v>
      </c>
      <c r="BB14" s="164"/>
      <c r="BD14" s="86" t="s">
        <v>106</v>
      </c>
      <c r="BE14" s="86" t="s">
        <v>263</v>
      </c>
      <c r="BF14" s="87" t="s">
        <v>264</v>
      </c>
      <c r="BG14" s="87">
        <v>387000650117</v>
      </c>
      <c r="BH14" s="86" t="s">
        <v>265</v>
      </c>
      <c r="BI14" s="86">
        <v>2222</v>
      </c>
      <c r="BJ14" s="86" t="s">
        <v>266</v>
      </c>
      <c r="BK14" s="86">
        <v>13312250</v>
      </c>
      <c r="BL14" s="86" t="s">
        <v>267</v>
      </c>
      <c r="BM14" s="86" t="s">
        <v>108</v>
      </c>
    </row>
    <row r="15" spans="1:65" ht="14.25" customHeight="1" thickBot="1" x14ac:dyDescent="0.25">
      <c r="A15" s="52">
        <f>0.269*8/100</f>
        <v>2.1520000000000001E-2</v>
      </c>
      <c r="B15" s="27">
        <f>VLOOKUP(F15,Planilha3!D:F,3,0)</f>
        <v>105.66936558057154</v>
      </c>
      <c r="C15" s="47">
        <f t="shared" si="20"/>
        <v>4910.2865046733987</v>
      </c>
      <c r="D15" s="47" t="s">
        <v>74</v>
      </c>
      <c r="E15" s="47" t="s">
        <v>75</v>
      </c>
      <c r="F15" s="20">
        <v>904895</v>
      </c>
      <c r="G15" s="20">
        <v>1208101</v>
      </c>
      <c r="H15" s="11" t="s">
        <v>64</v>
      </c>
      <c r="I15" s="20">
        <v>8</v>
      </c>
      <c r="J15" s="20">
        <v>520</v>
      </c>
      <c r="K15" s="123">
        <f t="shared" ref="K15:K22" si="28">J15*26</f>
        <v>13520</v>
      </c>
      <c r="L15" s="125">
        <v>27040</v>
      </c>
      <c r="M15" s="179">
        <f t="shared" si="1"/>
        <v>52</v>
      </c>
      <c r="N15" s="84">
        <f t="shared" si="2"/>
        <v>2</v>
      </c>
      <c r="O15" s="148">
        <v>31.21</v>
      </c>
      <c r="P15" s="135">
        <f t="shared" si="21"/>
        <v>3.9012500000000001</v>
      </c>
      <c r="Q15" s="13">
        <f t="shared" si="3"/>
        <v>0.8</v>
      </c>
      <c r="R15" s="13">
        <v>0.1</v>
      </c>
      <c r="S15" s="74">
        <f t="shared" si="4"/>
        <v>0.64</v>
      </c>
      <c r="T15" s="74">
        <v>0.08</v>
      </c>
      <c r="U15" s="121">
        <f t="shared" si="22"/>
        <v>0.18</v>
      </c>
      <c r="V15" s="121">
        <v>0.18</v>
      </c>
      <c r="W15" s="36">
        <f>VLOOKUP(F15,'[1]Proposta HNK para Tenda'!$F:$T,15,0)</f>
        <v>4.59</v>
      </c>
      <c r="X15" s="36">
        <f>VLOOKUP(F15,'[1]Proposta HNK para Tenda'!$F:$U,16,0)</f>
        <v>3.99</v>
      </c>
      <c r="Y15" s="36"/>
      <c r="Z15" s="45">
        <f t="shared" si="5"/>
        <v>38937.599999999999</v>
      </c>
      <c r="AA15" s="8">
        <f t="shared" si="6"/>
        <v>843918.4</v>
      </c>
      <c r="AB15" s="32">
        <f>L15*8*0.269/100</f>
        <v>581.9008</v>
      </c>
      <c r="AC15" s="43"/>
      <c r="AD15" s="44">
        <f t="shared" si="7"/>
        <v>0.1905596</v>
      </c>
      <c r="AE15" s="39">
        <f t="shared" si="8"/>
        <v>0.18</v>
      </c>
      <c r="AF15" s="39">
        <f t="shared" si="23"/>
        <v>1.0559600000000002E-2</v>
      </c>
      <c r="AH15" s="175">
        <v>70.84</v>
      </c>
      <c r="AI15" s="175">
        <f t="shared" si="9"/>
        <v>41221.852672000001</v>
      </c>
      <c r="AJ15" s="175">
        <f t="shared" si="10"/>
        <v>0.1905596</v>
      </c>
      <c r="AK15" s="7"/>
      <c r="AL15" s="7">
        <f t="shared" si="11"/>
        <v>0</v>
      </c>
      <c r="AM15" s="7">
        <f t="shared" si="12"/>
        <v>0</v>
      </c>
      <c r="AN15" s="7">
        <v>0</v>
      </c>
      <c r="AO15" s="137">
        <f t="shared" si="13"/>
        <v>0</v>
      </c>
      <c r="AP15" s="137">
        <f t="shared" si="14"/>
        <v>0</v>
      </c>
      <c r="AQ15" s="7">
        <f t="shared" si="15"/>
        <v>41221.852672000001</v>
      </c>
      <c r="AR15" s="7">
        <f t="shared" si="15"/>
        <v>0.1905596</v>
      </c>
      <c r="AS15" s="40">
        <f t="shared" si="16"/>
        <v>38937.599999999999</v>
      </c>
      <c r="AT15" s="40">
        <f t="shared" si="24"/>
        <v>2284.2526720000023</v>
      </c>
      <c r="AU15" s="7">
        <f t="shared" si="17"/>
        <v>3.9012500000000001</v>
      </c>
      <c r="AV15" s="40">
        <f t="shared" si="18"/>
        <v>3.7212499999999999</v>
      </c>
      <c r="AW15" s="41">
        <f t="shared" si="19"/>
        <v>6.7355889724310836E-2</v>
      </c>
      <c r="AY15" s="150">
        <f t="shared" si="26"/>
        <v>3.99</v>
      </c>
      <c r="AZ15" s="151">
        <f t="shared" si="27"/>
        <v>0</v>
      </c>
      <c r="BA15" s="160">
        <f t="shared" si="25"/>
        <v>3.99</v>
      </c>
      <c r="BB15" s="164"/>
      <c r="BD15" s="86" t="s">
        <v>117</v>
      </c>
      <c r="BE15" s="86" t="s">
        <v>263</v>
      </c>
      <c r="BF15" s="87" t="s">
        <v>275</v>
      </c>
      <c r="BG15" s="87" t="s">
        <v>276</v>
      </c>
      <c r="BH15" s="86" t="s">
        <v>277</v>
      </c>
      <c r="BI15" s="86">
        <v>199</v>
      </c>
      <c r="BJ15" s="86" t="s">
        <v>118</v>
      </c>
      <c r="BK15" s="86">
        <v>84043610</v>
      </c>
      <c r="BL15" s="86" t="s">
        <v>117</v>
      </c>
      <c r="BM15" s="86" t="s">
        <v>119</v>
      </c>
    </row>
    <row r="16" spans="1:65" ht="14.25" customHeight="1" thickBot="1" x14ac:dyDescent="0.25">
      <c r="A16" s="51">
        <v>4.2000000000000003E-2</v>
      </c>
      <c r="B16" s="27">
        <f>VLOOKUP(F16,Planilha3!D:F,3,0)</f>
        <v>151.60164053402013</v>
      </c>
      <c r="C16" s="47">
        <f t="shared" si="20"/>
        <v>3609.562869857622</v>
      </c>
      <c r="D16" s="47" t="s">
        <v>74</v>
      </c>
      <c r="E16" s="47" t="s">
        <v>75</v>
      </c>
      <c r="F16" s="20">
        <v>904961</v>
      </c>
      <c r="G16" s="20">
        <v>1193325</v>
      </c>
      <c r="H16" s="11" t="s">
        <v>54</v>
      </c>
      <c r="I16" s="20">
        <v>12</v>
      </c>
      <c r="J16" s="20">
        <v>280</v>
      </c>
      <c r="K16" s="123">
        <f t="shared" si="28"/>
        <v>7280</v>
      </c>
      <c r="L16" s="125">
        <v>109200</v>
      </c>
      <c r="M16" s="179">
        <f t="shared" si="1"/>
        <v>390</v>
      </c>
      <c r="N16" s="84">
        <f t="shared" si="2"/>
        <v>15</v>
      </c>
      <c r="O16" s="148">
        <v>58.04</v>
      </c>
      <c r="P16" s="135">
        <f t="shared" si="21"/>
        <v>4.8366666666666669</v>
      </c>
      <c r="Q16" s="13">
        <f t="shared" si="3"/>
        <v>1.2000000000000002</v>
      </c>
      <c r="R16" s="13">
        <v>0.1</v>
      </c>
      <c r="S16" s="74">
        <f t="shared" si="4"/>
        <v>4.1999999999999993</v>
      </c>
      <c r="T16" s="74">
        <v>0.35</v>
      </c>
      <c r="U16" s="121">
        <f t="shared" si="22"/>
        <v>0.44999999999999996</v>
      </c>
      <c r="V16" s="121">
        <v>0.44999999999999996</v>
      </c>
      <c r="W16" s="36">
        <f>VLOOKUP(F16,'[1]Proposta HNK para Tenda'!$F:$T,15,0)</f>
        <v>5.69</v>
      </c>
      <c r="X16" s="36">
        <f>VLOOKUP(F16,'[1]Proposta HNK para Tenda'!$F:$U,16,0)</f>
        <v>5.2900000000000009</v>
      </c>
      <c r="Y16" s="36"/>
      <c r="Z16" s="45">
        <f t="shared" si="5"/>
        <v>589680</v>
      </c>
      <c r="AA16" s="8">
        <f t="shared" si="6"/>
        <v>6337968</v>
      </c>
      <c r="AB16" s="32">
        <f>L16*12*0.35/100</f>
        <v>4586.3999999999996</v>
      </c>
      <c r="AC16" s="43"/>
      <c r="AD16" s="44">
        <f t="shared" si="7"/>
        <v>0.47900999999999999</v>
      </c>
      <c r="AE16" s="39">
        <f t="shared" si="8"/>
        <v>0.44999999999999996</v>
      </c>
      <c r="AF16" s="39">
        <f t="shared" si="23"/>
        <v>2.9010000000000036E-2</v>
      </c>
      <c r="AH16" s="175">
        <v>33.86</v>
      </c>
      <c r="AI16" s="175">
        <f t="shared" si="9"/>
        <v>155295.50399999999</v>
      </c>
      <c r="AJ16" s="175">
        <f t="shared" si="10"/>
        <v>0.11850999999999999</v>
      </c>
      <c r="AK16" s="7"/>
      <c r="AL16" s="7">
        <f t="shared" si="11"/>
        <v>0</v>
      </c>
      <c r="AM16" s="7">
        <f t="shared" si="12"/>
        <v>0</v>
      </c>
      <c r="AN16" s="174">
        <v>103</v>
      </c>
      <c r="AO16" s="174">
        <f t="shared" si="13"/>
        <v>472399.19999999995</v>
      </c>
      <c r="AP16" s="174">
        <f t="shared" si="14"/>
        <v>0.36049999999999999</v>
      </c>
      <c r="AQ16" s="7">
        <f t="shared" si="15"/>
        <v>627694.70399999991</v>
      </c>
      <c r="AR16" s="7">
        <f t="shared" si="15"/>
        <v>0.47900999999999999</v>
      </c>
      <c r="AS16" s="40">
        <f t="shared" si="16"/>
        <v>589680</v>
      </c>
      <c r="AT16" s="40">
        <f t="shared" si="24"/>
        <v>38014.703999999911</v>
      </c>
      <c r="AU16" s="7">
        <f t="shared" si="17"/>
        <v>4.8366666666666669</v>
      </c>
      <c r="AV16" s="40">
        <f t="shared" si="18"/>
        <v>4.3866666666666676</v>
      </c>
      <c r="AW16" s="41">
        <f t="shared" si="19"/>
        <v>0.17076244486452422</v>
      </c>
      <c r="AY16" s="150">
        <f t="shared" si="26"/>
        <v>5.2900000000000009</v>
      </c>
      <c r="AZ16" s="151">
        <f t="shared" si="27"/>
        <v>0</v>
      </c>
      <c r="BA16" s="160">
        <f t="shared" si="25"/>
        <v>5.2900000000000009</v>
      </c>
      <c r="BB16" s="164"/>
      <c r="BD16" s="86" t="s">
        <v>117</v>
      </c>
      <c r="BE16" s="86" t="s">
        <v>263</v>
      </c>
      <c r="BF16" s="87" t="s">
        <v>275</v>
      </c>
      <c r="BG16" s="87" t="s">
        <v>276</v>
      </c>
      <c r="BH16" s="86" t="s">
        <v>277</v>
      </c>
      <c r="BI16" s="86">
        <v>199</v>
      </c>
      <c r="BJ16" s="86" t="s">
        <v>118</v>
      </c>
      <c r="BK16" s="86">
        <v>84043610</v>
      </c>
      <c r="BL16" s="86" t="s">
        <v>117</v>
      </c>
      <c r="BM16" s="86" t="s">
        <v>119</v>
      </c>
    </row>
    <row r="17" spans="1:65" ht="14.25" customHeight="1" thickBot="1" x14ac:dyDescent="0.25">
      <c r="A17" s="50">
        <v>7.9200000000000007E-2</v>
      </c>
      <c r="B17" s="27">
        <f>VLOOKUP(F17,Planilha3!D:F,3,0)</f>
        <v>143.24875260192064</v>
      </c>
      <c r="C17" s="47">
        <f t="shared" si="20"/>
        <v>1808.6963712363715</v>
      </c>
      <c r="D17" s="47" t="s">
        <v>74</v>
      </c>
      <c r="E17" s="47" t="s">
        <v>75</v>
      </c>
      <c r="F17" s="20">
        <v>903996</v>
      </c>
      <c r="G17" s="20">
        <v>1140139</v>
      </c>
      <c r="H17" s="11" t="s">
        <v>7</v>
      </c>
      <c r="I17" s="20">
        <v>24</v>
      </c>
      <c r="J17" s="20">
        <v>91</v>
      </c>
      <c r="K17" s="123">
        <f t="shared" si="28"/>
        <v>2366</v>
      </c>
      <c r="L17" s="125">
        <v>7098</v>
      </c>
      <c r="M17" s="179">
        <f t="shared" si="1"/>
        <v>78</v>
      </c>
      <c r="N17" s="84">
        <f t="shared" si="2"/>
        <v>3</v>
      </c>
      <c r="O17" s="148">
        <v>142.6</v>
      </c>
      <c r="P17" s="135">
        <f t="shared" si="21"/>
        <v>5.9416666666666664</v>
      </c>
      <c r="Q17" s="13">
        <f t="shared" si="3"/>
        <v>1.2000000000000002</v>
      </c>
      <c r="R17" s="13">
        <v>0.05</v>
      </c>
      <c r="S17" s="74">
        <f t="shared" si="4"/>
        <v>0.24</v>
      </c>
      <c r="T17" s="74">
        <v>0.01</v>
      </c>
      <c r="U17" s="121">
        <f t="shared" si="22"/>
        <v>6.0000000000000005E-2</v>
      </c>
      <c r="V17" s="121">
        <v>6.0000000000000005E-2</v>
      </c>
      <c r="W17" s="36">
        <f>VLOOKUP(F17,'[1]Proposta HNK para Tenda'!$F:$T,15,0)</f>
        <v>6.99</v>
      </c>
      <c r="X17" s="36">
        <f>VLOOKUP(F17,'[1]Proposta HNK para Tenda'!$F:$U,16,0)</f>
        <v>6.5900000000000007</v>
      </c>
      <c r="Y17" s="36"/>
      <c r="Z17" s="45">
        <f t="shared" si="5"/>
        <v>10221.120000000001</v>
      </c>
      <c r="AA17" s="8">
        <f t="shared" si="6"/>
        <v>1012174.7999999999</v>
      </c>
      <c r="AB17" s="32">
        <f>L17*24*0.33/100</f>
        <v>562.16160000000002</v>
      </c>
      <c r="AC17" s="43"/>
      <c r="AD17" s="44">
        <f t="shared" si="7"/>
        <v>6.8508000000000013E-2</v>
      </c>
      <c r="AE17" s="39">
        <f t="shared" si="8"/>
        <v>6.0000000000000005E-2</v>
      </c>
      <c r="AF17" s="39">
        <f t="shared" si="23"/>
        <v>8.5080000000000086E-3</v>
      </c>
      <c r="AH17" s="177">
        <v>20.76</v>
      </c>
      <c r="AI17" s="177">
        <f t="shared" si="9"/>
        <v>11670.474816000002</v>
      </c>
      <c r="AJ17" s="177">
        <f t="shared" si="10"/>
        <v>6.8508000000000013E-2</v>
      </c>
      <c r="AK17" s="7"/>
      <c r="AL17" s="7">
        <f t="shared" si="11"/>
        <v>0</v>
      </c>
      <c r="AM17" s="7">
        <f t="shared" si="12"/>
        <v>0</v>
      </c>
      <c r="AN17" s="7">
        <v>0</v>
      </c>
      <c r="AO17" s="137">
        <f t="shared" si="13"/>
        <v>0</v>
      </c>
      <c r="AP17" s="137">
        <f t="shared" si="14"/>
        <v>0</v>
      </c>
      <c r="AQ17" s="7">
        <f t="shared" si="15"/>
        <v>11670.474816000002</v>
      </c>
      <c r="AR17" s="7">
        <f t="shared" si="15"/>
        <v>6.8508000000000013E-2</v>
      </c>
      <c r="AS17" s="40">
        <f t="shared" si="16"/>
        <v>10221.120000000001</v>
      </c>
      <c r="AT17" s="83">
        <f t="shared" si="24"/>
        <v>1449.3548160000009</v>
      </c>
      <c r="AU17" s="7">
        <f t="shared" si="17"/>
        <v>5.9416666666666664</v>
      </c>
      <c r="AV17" s="40">
        <f t="shared" si="18"/>
        <v>5.8816666666666668</v>
      </c>
      <c r="AW17" s="41">
        <f t="shared" si="19"/>
        <v>0.10748609003540727</v>
      </c>
      <c r="AY17" s="150">
        <f t="shared" si="26"/>
        <v>6.5900000000000007</v>
      </c>
      <c r="AZ17" s="151">
        <f t="shared" si="27"/>
        <v>0</v>
      </c>
      <c r="BA17" s="160">
        <f t="shared" si="25"/>
        <v>6.5900000000000007</v>
      </c>
      <c r="BB17" s="164"/>
      <c r="BD17" s="86" t="s">
        <v>117</v>
      </c>
      <c r="BE17" s="86" t="s">
        <v>263</v>
      </c>
      <c r="BF17" s="87" t="s">
        <v>275</v>
      </c>
      <c r="BG17" s="87" t="s">
        <v>276</v>
      </c>
      <c r="BH17" s="86" t="s">
        <v>277</v>
      </c>
      <c r="BI17" s="86">
        <v>199</v>
      </c>
      <c r="BJ17" s="86" t="s">
        <v>118</v>
      </c>
      <c r="BK17" s="86">
        <v>84043610</v>
      </c>
      <c r="BL17" s="86" t="s">
        <v>117</v>
      </c>
      <c r="BM17" s="86" t="s">
        <v>119</v>
      </c>
    </row>
    <row r="18" spans="1:65" ht="14.25" customHeight="1" thickBot="1" x14ac:dyDescent="0.25">
      <c r="A18" s="50">
        <f>0.269*8/100</f>
        <v>2.1520000000000001E-2</v>
      </c>
      <c r="B18" s="27">
        <f>VLOOKUP(F18,Planilha3!D:F,3,0)</f>
        <v>1756.2216050081772</v>
      </c>
      <c r="C18" s="47">
        <f t="shared" si="20"/>
        <v>81608.810641643926</v>
      </c>
      <c r="D18" s="47" t="s">
        <v>74</v>
      </c>
      <c r="E18" s="47" t="s">
        <v>75</v>
      </c>
      <c r="F18" s="20">
        <v>904721</v>
      </c>
      <c r="G18" s="20">
        <v>1169727</v>
      </c>
      <c r="H18" s="11" t="s">
        <v>6</v>
      </c>
      <c r="I18" s="20">
        <v>8</v>
      </c>
      <c r="J18" s="20">
        <v>520</v>
      </c>
      <c r="K18" s="123">
        <f t="shared" si="28"/>
        <v>13520</v>
      </c>
      <c r="L18" s="125">
        <f>K18*45</f>
        <v>608400</v>
      </c>
      <c r="M18" s="179">
        <f t="shared" si="1"/>
        <v>1170</v>
      </c>
      <c r="N18" s="46">
        <f t="shared" si="2"/>
        <v>45</v>
      </c>
      <c r="O18" s="148">
        <v>31.21</v>
      </c>
      <c r="P18" s="135">
        <f t="shared" si="21"/>
        <v>3.9012500000000001</v>
      </c>
      <c r="Q18" s="13">
        <f t="shared" si="3"/>
        <v>0.8</v>
      </c>
      <c r="R18" s="13">
        <v>0.1</v>
      </c>
      <c r="S18" s="74">
        <f t="shared" si="4"/>
        <v>1.44</v>
      </c>
      <c r="T18" s="74">
        <v>0.18</v>
      </c>
      <c r="U18" s="121">
        <f t="shared" si="22"/>
        <v>0.28000000000000003</v>
      </c>
      <c r="V18" s="183">
        <v>0.4</v>
      </c>
      <c r="W18" s="36">
        <f>VLOOKUP(F18,'[1]Proposta HNK para Tenda'!$F:$T,15,0)</f>
        <v>4.59</v>
      </c>
      <c r="X18" s="36">
        <f>VLOOKUP(F18,'[1]Proposta HNK para Tenda'!$F:$U,16,0)</f>
        <v>3.99</v>
      </c>
      <c r="Y18" s="36"/>
      <c r="Z18" s="45">
        <f t="shared" si="5"/>
        <v>1362816.0000000002</v>
      </c>
      <c r="AA18" s="45">
        <f t="shared" si="6"/>
        <v>18988164</v>
      </c>
      <c r="AB18" s="32">
        <f>L18*8*0.269/100</f>
        <v>13092.768</v>
      </c>
      <c r="AC18" s="43"/>
      <c r="AD18" s="44">
        <f t="shared" si="7"/>
        <v>0.1905596</v>
      </c>
      <c r="AE18" s="39">
        <f t="shared" si="8"/>
        <v>0.28000000000000003</v>
      </c>
      <c r="AF18" s="39">
        <f t="shared" si="23"/>
        <v>-8.9440400000000031E-2</v>
      </c>
      <c r="AH18" s="175">
        <v>70.84</v>
      </c>
      <c r="AI18" s="175">
        <f t="shared" si="9"/>
        <v>927491.68512000004</v>
      </c>
      <c r="AJ18" s="175">
        <f t="shared" si="10"/>
        <v>0.1905596</v>
      </c>
      <c r="AK18" s="7"/>
      <c r="AL18" s="7">
        <f t="shared" si="11"/>
        <v>0</v>
      </c>
      <c r="AM18" s="7">
        <f t="shared" si="12"/>
        <v>0</v>
      </c>
      <c r="AN18" s="7">
        <v>0</v>
      </c>
      <c r="AO18" s="137">
        <f t="shared" si="13"/>
        <v>0</v>
      </c>
      <c r="AP18" s="137">
        <f t="shared" si="14"/>
        <v>0</v>
      </c>
      <c r="AQ18" s="7">
        <f t="shared" si="15"/>
        <v>927491.68512000004</v>
      </c>
      <c r="AR18" s="7">
        <f t="shared" si="15"/>
        <v>0.1905596</v>
      </c>
      <c r="AS18" s="40">
        <f t="shared" si="16"/>
        <v>1362816.0000000002</v>
      </c>
      <c r="AT18" s="83">
        <f t="shared" si="24"/>
        <v>-435324.31488000019</v>
      </c>
      <c r="AU18" s="7">
        <f t="shared" si="17"/>
        <v>3.9012500000000001</v>
      </c>
      <c r="AV18" s="40">
        <f t="shared" si="18"/>
        <v>3.6212499999999999</v>
      </c>
      <c r="AW18" s="41">
        <f t="shared" si="19"/>
        <v>9.2418546365914872E-2</v>
      </c>
      <c r="AY18" s="150">
        <f t="shared" si="26"/>
        <v>3.99</v>
      </c>
      <c r="AZ18" s="151">
        <f t="shared" si="27"/>
        <v>0</v>
      </c>
      <c r="BA18" s="160">
        <f t="shared" si="25"/>
        <v>3.99</v>
      </c>
      <c r="BB18" s="164"/>
      <c r="BD18" s="86" t="s">
        <v>117</v>
      </c>
      <c r="BE18" s="86" t="s">
        <v>263</v>
      </c>
      <c r="BF18" s="87" t="s">
        <v>275</v>
      </c>
      <c r="BG18" s="87" t="s">
        <v>276</v>
      </c>
      <c r="BH18" s="86" t="s">
        <v>277</v>
      </c>
      <c r="BI18" s="86">
        <v>199</v>
      </c>
      <c r="BJ18" s="86" t="s">
        <v>118</v>
      </c>
      <c r="BK18" s="86">
        <v>84043610</v>
      </c>
      <c r="BL18" s="86" t="s">
        <v>117</v>
      </c>
      <c r="BM18" s="86" t="s">
        <v>119</v>
      </c>
    </row>
    <row r="19" spans="1:65" ht="14.25" customHeight="1" thickBot="1" x14ac:dyDescent="0.25">
      <c r="A19" s="51">
        <v>4.2000000000000003E-2</v>
      </c>
      <c r="B19" s="27">
        <f>VLOOKUP(F19,Planilha3!D:F,3,0)</f>
        <v>2524.7199789310725</v>
      </c>
      <c r="C19" s="47">
        <f t="shared" si="20"/>
        <v>60112.380450739816</v>
      </c>
      <c r="D19" s="47" t="s">
        <v>74</v>
      </c>
      <c r="E19" s="47" t="s">
        <v>75</v>
      </c>
      <c r="F19" s="20">
        <v>904932</v>
      </c>
      <c r="G19" s="20">
        <v>1193319</v>
      </c>
      <c r="H19" s="11" t="s">
        <v>55</v>
      </c>
      <c r="I19" s="20">
        <v>12</v>
      </c>
      <c r="J19" s="20">
        <v>280</v>
      </c>
      <c r="K19" s="123">
        <f t="shared" si="28"/>
        <v>7280</v>
      </c>
      <c r="L19" s="125">
        <v>509600</v>
      </c>
      <c r="M19" s="178">
        <f t="shared" si="1"/>
        <v>1820</v>
      </c>
      <c r="N19" s="84">
        <f t="shared" si="2"/>
        <v>70</v>
      </c>
      <c r="O19" s="148">
        <v>58.04</v>
      </c>
      <c r="P19" s="135">
        <f t="shared" si="21"/>
        <v>4.8366666666666669</v>
      </c>
      <c r="Q19" s="13">
        <f t="shared" si="3"/>
        <v>1.2000000000000002</v>
      </c>
      <c r="R19" s="13">
        <v>0.1</v>
      </c>
      <c r="S19" s="74">
        <f t="shared" si="4"/>
        <v>4.1999999999999993</v>
      </c>
      <c r="T19" s="74">
        <v>0.35</v>
      </c>
      <c r="U19" s="121">
        <f t="shared" si="22"/>
        <v>0.44999999999999996</v>
      </c>
      <c r="V19" s="121">
        <v>0.44999999999999996</v>
      </c>
      <c r="W19" s="157">
        <f>VLOOKUP(F19,'[1]Proposta HNK para Tenda'!$F:$T,15,0)</f>
        <v>5.69</v>
      </c>
      <c r="X19" s="157">
        <f>VLOOKUP(F19,'[1]Proposta HNK para Tenda'!$F:$U,16,0)</f>
        <v>5.2900000000000009</v>
      </c>
      <c r="Y19" s="157">
        <v>4.99</v>
      </c>
      <c r="Z19" s="45">
        <f t="shared" si="5"/>
        <v>2751839.9999999995</v>
      </c>
      <c r="AA19" s="8">
        <f t="shared" si="6"/>
        <v>29577184</v>
      </c>
      <c r="AB19" s="32">
        <f>L19*12*0.35/100</f>
        <v>21403.200000000001</v>
      </c>
      <c r="AC19" s="43"/>
      <c r="AD19" s="44">
        <f t="shared" si="7"/>
        <v>0.47901000000000005</v>
      </c>
      <c r="AE19" s="39">
        <f t="shared" si="8"/>
        <v>0.44999999999999996</v>
      </c>
      <c r="AF19" s="39">
        <f t="shared" si="23"/>
        <v>2.9010000000000091E-2</v>
      </c>
      <c r="AH19" s="175">
        <v>33.86</v>
      </c>
      <c r="AI19" s="175">
        <f t="shared" si="9"/>
        <v>724712.35199999996</v>
      </c>
      <c r="AJ19" s="175">
        <f t="shared" si="10"/>
        <v>0.11850999999999999</v>
      </c>
      <c r="AK19" s="7"/>
      <c r="AL19" s="7">
        <f t="shared" si="11"/>
        <v>0</v>
      </c>
      <c r="AM19" s="7">
        <f t="shared" si="12"/>
        <v>0</v>
      </c>
      <c r="AN19" s="174">
        <v>103</v>
      </c>
      <c r="AO19" s="174">
        <f t="shared" si="13"/>
        <v>2204529.6</v>
      </c>
      <c r="AP19" s="174">
        <f t="shared" si="14"/>
        <v>0.36050000000000004</v>
      </c>
      <c r="AQ19" s="7">
        <f t="shared" si="15"/>
        <v>2929241.952</v>
      </c>
      <c r="AR19" s="7">
        <f t="shared" si="15"/>
        <v>0.47901000000000005</v>
      </c>
      <c r="AS19" s="40">
        <f t="shared" si="16"/>
        <v>2751839.9999999995</v>
      </c>
      <c r="AT19" s="83">
        <f t="shared" si="24"/>
        <v>177401.95200000051</v>
      </c>
      <c r="AU19" s="7">
        <f t="shared" si="17"/>
        <v>4.8366666666666669</v>
      </c>
      <c r="AV19" s="40">
        <f t="shared" si="18"/>
        <v>4.3866666666666676</v>
      </c>
      <c r="AW19" s="41">
        <f t="shared" si="19"/>
        <v>0.17076244486452422</v>
      </c>
      <c r="AY19" s="153">
        <f>X19*50%</f>
        <v>2.6450000000000005</v>
      </c>
      <c r="AZ19" s="154">
        <f t="shared" si="27"/>
        <v>2.4950000000000001</v>
      </c>
      <c r="BA19" s="159">
        <f t="shared" si="25"/>
        <v>5.1400000000000006</v>
      </c>
      <c r="BB19" s="163">
        <f>(X19-Y19)/X19</f>
        <v>5.6710775047259104E-2</v>
      </c>
      <c r="BD19" s="86" t="s">
        <v>121</v>
      </c>
      <c r="BE19" s="86" t="s">
        <v>263</v>
      </c>
      <c r="BF19" s="87" t="s">
        <v>268</v>
      </c>
      <c r="BG19" s="87">
        <v>392558326113</v>
      </c>
      <c r="BH19" s="86" t="s">
        <v>269</v>
      </c>
      <c r="BI19" s="86">
        <v>2911</v>
      </c>
      <c r="BJ19" s="86" t="s">
        <v>270</v>
      </c>
      <c r="BK19" s="86">
        <v>12321150</v>
      </c>
      <c r="BL19" s="86" t="s">
        <v>271</v>
      </c>
      <c r="BM19" s="86" t="s">
        <v>108</v>
      </c>
    </row>
    <row r="20" spans="1:65" ht="14.25" customHeight="1" thickBot="1" x14ac:dyDescent="0.25">
      <c r="A20" s="52">
        <f>0.25*24/100</f>
        <v>0.06</v>
      </c>
      <c r="B20" s="27">
        <f>VLOOKUP(F20,Planilha3!D:F,3,0)</f>
        <v>501.62260948177118</v>
      </c>
      <c r="C20" s="47">
        <f t="shared" si="20"/>
        <v>8360.3768246961863</v>
      </c>
      <c r="D20" s="47" t="s">
        <v>74</v>
      </c>
      <c r="E20" s="47" t="s">
        <v>75</v>
      </c>
      <c r="F20" s="20">
        <v>905291</v>
      </c>
      <c r="G20" s="20">
        <v>1016561</v>
      </c>
      <c r="H20" s="11" t="s">
        <v>5</v>
      </c>
      <c r="I20" s="20">
        <v>24</v>
      </c>
      <c r="J20" s="20">
        <v>104</v>
      </c>
      <c r="K20" s="123">
        <f t="shared" si="28"/>
        <v>2704</v>
      </c>
      <c r="L20" s="125">
        <v>24336</v>
      </c>
      <c r="M20" s="179">
        <f t="shared" si="1"/>
        <v>234</v>
      </c>
      <c r="N20" s="46">
        <f t="shared" si="2"/>
        <v>9</v>
      </c>
      <c r="O20" s="148">
        <v>107.92</v>
      </c>
      <c r="P20" s="135">
        <f t="shared" si="21"/>
        <v>4.496666666666667</v>
      </c>
      <c r="Q20" s="13">
        <f t="shared" si="3"/>
        <v>1.2000000000000002</v>
      </c>
      <c r="R20" s="13">
        <v>0.05</v>
      </c>
      <c r="S20" s="74">
        <f t="shared" si="4"/>
        <v>0.72</v>
      </c>
      <c r="T20" s="74">
        <v>0.03</v>
      </c>
      <c r="U20" s="121">
        <f t="shared" si="22"/>
        <v>0.08</v>
      </c>
      <c r="V20" s="121">
        <v>0.08</v>
      </c>
      <c r="W20" s="36">
        <v>5.29</v>
      </c>
      <c r="X20" s="36">
        <v>4.99</v>
      </c>
      <c r="Y20" s="36"/>
      <c r="Z20" s="45">
        <f t="shared" si="5"/>
        <v>46725.120000000003</v>
      </c>
      <c r="AA20" s="45">
        <f t="shared" si="6"/>
        <v>2626341.12</v>
      </c>
      <c r="AB20" s="32">
        <f>L20*24*0.25/100</f>
        <v>1460.16</v>
      </c>
      <c r="AC20" s="43"/>
      <c r="AD20" s="44">
        <f t="shared" si="7"/>
        <v>0.23707499999999998</v>
      </c>
      <c r="AE20" s="39">
        <f t="shared" si="8"/>
        <v>0.08</v>
      </c>
      <c r="AF20" s="39">
        <f t="shared" si="23"/>
        <v>0.15707499999999996</v>
      </c>
      <c r="AH20" s="175">
        <v>35.799999999999997</v>
      </c>
      <c r="AI20" s="175">
        <f t="shared" si="9"/>
        <v>52273.727999999996</v>
      </c>
      <c r="AJ20" s="175">
        <f t="shared" si="10"/>
        <v>8.9499999999999982E-2</v>
      </c>
      <c r="AK20" s="7"/>
      <c r="AL20" s="7">
        <f t="shared" si="11"/>
        <v>0</v>
      </c>
      <c r="AM20" s="7">
        <f t="shared" si="12"/>
        <v>0</v>
      </c>
      <c r="AN20" s="174">
        <v>59.03</v>
      </c>
      <c r="AO20" s="174">
        <f t="shared" si="13"/>
        <v>86193.2448</v>
      </c>
      <c r="AP20" s="174">
        <f t="shared" si="14"/>
        <v>0.14757499999999998</v>
      </c>
      <c r="AQ20" s="7">
        <f t="shared" si="15"/>
        <v>138466.97279999999</v>
      </c>
      <c r="AR20" s="7">
        <f t="shared" si="15"/>
        <v>0.23707499999999998</v>
      </c>
      <c r="AS20" s="40">
        <f t="shared" si="16"/>
        <v>46725.120000000003</v>
      </c>
      <c r="AT20" s="83">
        <f t="shared" si="24"/>
        <v>91741.852799999993</v>
      </c>
      <c r="AU20" s="7">
        <f t="shared" si="17"/>
        <v>4.496666666666667</v>
      </c>
      <c r="AV20" s="40">
        <f t="shared" si="18"/>
        <v>4.416666666666667</v>
      </c>
      <c r="AW20" s="41">
        <f t="shared" si="19"/>
        <v>0.11489645958583833</v>
      </c>
      <c r="AY20" s="150">
        <f t="shared" ref="AY20:AY47" si="29">X20*100%</f>
        <v>4.99</v>
      </c>
      <c r="AZ20" s="151">
        <f t="shared" si="27"/>
        <v>0</v>
      </c>
      <c r="BA20" s="160">
        <f t="shared" si="25"/>
        <v>4.99</v>
      </c>
      <c r="BB20" s="164"/>
      <c r="BD20" s="86" t="s">
        <v>121</v>
      </c>
      <c r="BE20" s="86" t="s">
        <v>263</v>
      </c>
      <c r="BF20" s="87" t="s">
        <v>268</v>
      </c>
      <c r="BG20" s="87">
        <v>392558326113</v>
      </c>
      <c r="BH20" s="86" t="s">
        <v>269</v>
      </c>
      <c r="BI20" s="86">
        <v>2911</v>
      </c>
      <c r="BJ20" s="86" t="s">
        <v>270</v>
      </c>
      <c r="BK20" s="86">
        <v>12321150</v>
      </c>
      <c r="BL20" s="86" t="s">
        <v>271</v>
      </c>
      <c r="BM20" s="86" t="s">
        <v>108</v>
      </c>
    </row>
    <row r="21" spans="1:65" ht="14.25" customHeight="1" thickBot="1" x14ac:dyDescent="0.25">
      <c r="A21" s="50">
        <v>7.9200000000000007E-2</v>
      </c>
      <c r="B21" s="27">
        <f>VLOOKUP(F21,Planilha3!D:F,3,0)</f>
        <v>1279.3006982621212</v>
      </c>
      <c r="C21" s="47">
        <f t="shared" si="20"/>
        <v>16152.7865942187</v>
      </c>
      <c r="D21" s="47" t="s">
        <v>74</v>
      </c>
      <c r="E21" s="47" t="s">
        <v>75</v>
      </c>
      <c r="F21" s="20">
        <v>903478</v>
      </c>
      <c r="G21" s="20">
        <v>1045807</v>
      </c>
      <c r="H21" s="11" t="s">
        <v>4</v>
      </c>
      <c r="I21" s="20">
        <v>24</v>
      </c>
      <c r="J21" s="20">
        <v>91</v>
      </c>
      <c r="K21" s="123">
        <f t="shared" si="28"/>
        <v>2366</v>
      </c>
      <c r="L21" s="125">
        <v>70980</v>
      </c>
      <c r="M21" s="179">
        <f t="shared" si="1"/>
        <v>780</v>
      </c>
      <c r="N21" s="84">
        <f t="shared" si="2"/>
        <v>30</v>
      </c>
      <c r="O21" s="148">
        <v>142.6</v>
      </c>
      <c r="P21" s="135">
        <f t="shared" si="21"/>
        <v>5.9416666666666664</v>
      </c>
      <c r="Q21" s="13">
        <f t="shared" si="3"/>
        <v>1.2000000000000002</v>
      </c>
      <c r="R21" s="13">
        <v>0.05</v>
      </c>
      <c r="S21" s="74">
        <f t="shared" si="4"/>
        <v>0.24</v>
      </c>
      <c r="T21" s="74">
        <v>0.01</v>
      </c>
      <c r="U21" s="121">
        <f t="shared" si="22"/>
        <v>6.0000000000000005E-2</v>
      </c>
      <c r="V21" s="121">
        <v>6.0000000000000005E-2</v>
      </c>
      <c r="W21" s="36">
        <f>VLOOKUP(F21,'[1]Proposta HNK para Tenda'!$F:$T,15,0)</f>
        <v>6.99</v>
      </c>
      <c r="X21" s="36">
        <f>VLOOKUP(F21,'[1]Proposta HNK para Tenda'!$F:$U,16,0)</f>
        <v>6.5900000000000007</v>
      </c>
      <c r="Y21" s="36"/>
      <c r="Z21" s="45">
        <f t="shared" si="5"/>
        <v>102211.20000000001</v>
      </c>
      <c r="AA21" s="8">
        <f t="shared" si="6"/>
        <v>10121748</v>
      </c>
      <c r="AB21" s="32">
        <f>L21*24*0.33/100</f>
        <v>5621.616</v>
      </c>
      <c r="AC21" s="43"/>
      <c r="AD21" s="44">
        <f t="shared" si="7"/>
        <v>6.8507999999999999E-2</v>
      </c>
      <c r="AE21" s="39">
        <f t="shared" si="8"/>
        <v>6.0000000000000005E-2</v>
      </c>
      <c r="AF21" s="39">
        <f t="shared" si="23"/>
        <v>8.5079999999999947E-3</v>
      </c>
      <c r="AH21" s="177">
        <v>20.76</v>
      </c>
      <c r="AI21" s="177">
        <f t="shared" si="9"/>
        <v>116704.74816</v>
      </c>
      <c r="AJ21" s="177">
        <f t="shared" si="10"/>
        <v>6.8507999999999999E-2</v>
      </c>
      <c r="AK21" s="7"/>
      <c r="AL21" s="7">
        <f t="shared" si="11"/>
        <v>0</v>
      </c>
      <c r="AM21" s="7">
        <f t="shared" si="12"/>
        <v>0</v>
      </c>
      <c r="AN21" s="7">
        <v>0</v>
      </c>
      <c r="AO21" s="137">
        <f t="shared" si="13"/>
        <v>0</v>
      </c>
      <c r="AP21" s="137">
        <f t="shared" si="14"/>
        <v>0</v>
      </c>
      <c r="AQ21" s="7">
        <f t="shared" si="15"/>
        <v>116704.74816</v>
      </c>
      <c r="AR21" s="7">
        <f t="shared" si="15"/>
        <v>6.8507999999999999E-2</v>
      </c>
      <c r="AS21" s="40">
        <f t="shared" si="16"/>
        <v>102211.20000000001</v>
      </c>
      <c r="AT21" s="83">
        <f t="shared" si="24"/>
        <v>14493.548159999991</v>
      </c>
      <c r="AU21" s="7">
        <f t="shared" si="17"/>
        <v>5.9416666666666664</v>
      </c>
      <c r="AV21" s="40">
        <f t="shared" si="18"/>
        <v>5.8816666666666668</v>
      </c>
      <c r="AW21" s="41">
        <f t="shared" si="19"/>
        <v>0.10748609003540727</v>
      </c>
      <c r="AY21" s="150">
        <f t="shared" si="29"/>
        <v>6.5900000000000007</v>
      </c>
      <c r="AZ21" s="151">
        <f t="shared" si="27"/>
        <v>0</v>
      </c>
      <c r="BA21" s="160">
        <f t="shared" si="25"/>
        <v>6.5900000000000007</v>
      </c>
      <c r="BB21" s="164"/>
      <c r="BD21" s="86" t="s">
        <v>120</v>
      </c>
      <c r="BE21" s="86" t="s">
        <v>263</v>
      </c>
      <c r="BF21" s="87" t="s">
        <v>272</v>
      </c>
      <c r="BG21" s="87">
        <v>181661963118</v>
      </c>
      <c r="BH21" s="86" t="s">
        <v>273</v>
      </c>
      <c r="BI21" s="86">
        <v>701</v>
      </c>
      <c r="BJ21" s="86" t="s">
        <v>274</v>
      </c>
      <c r="BK21" s="86">
        <v>14808080</v>
      </c>
      <c r="BL21" s="86" t="s">
        <v>120</v>
      </c>
      <c r="BM21" s="86" t="s">
        <v>108</v>
      </c>
    </row>
    <row r="22" spans="1:65" ht="14.25" customHeight="1" thickBot="1" x14ac:dyDescent="0.25">
      <c r="A22" s="50">
        <v>7.1999999999999995E-2</v>
      </c>
      <c r="B22" s="27">
        <f>VLOOKUP(F22,Planilha3!D:F,3,0)</f>
        <v>156.38562661667979</v>
      </c>
      <c r="C22" s="47">
        <f t="shared" si="20"/>
        <v>2172.0225918983306</v>
      </c>
      <c r="D22" s="47" t="s">
        <v>74</v>
      </c>
      <c r="E22" s="47" t="s">
        <v>75</v>
      </c>
      <c r="F22" s="20">
        <v>903480</v>
      </c>
      <c r="G22" s="20">
        <v>99187</v>
      </c>
      <c r="H22" s="11" t="s">
        <v>3</v>
      </c>
      <c r="I22" s="20">
        <v>12</v>
      </c>
      <c r="J22" s="20">
        <v>96</v>
      </c>
      <c r="K22" s="123">
        <f t="shared" si="28"/>
        <v>2496</v>
      </c>
      <c r="L22" s="125">
        <v>2496</v>
      </c>
      <c r="M22" s="179">
        <f t="shared" si="1"/>
        <v>26</v>
      </c>
      <c r="N22" s="84">
        <f t="shared" si="2"/>
        <v>1</v>
      </c>
      <c r="O22" s="148">
        <v>137.6</v>
      </c>
      <c r="P22" s="135">
        <f t="shared" si="21"/>
        <v>11.466666666666667</v>
      </c>
      <c r="Q22" s="9">
        <f t="shared" si="3"/>
        <v>0</v>
      </c>
      <c r="R22" s="9">
        <v>0</v>
      </c>
      <c r="S22" s="29">
        <f t="shared" si="4"/>
        <v>0</v>
      </c>
      <c r="T22" s="29">
        <v>0</v>
      </c>
      <c r="U22" s="121">
        <f t="shared" si="22"/>
        <v>0</v>
      </c>
      <c r="V22" s="121">
        <v>0</v>
      </c>
      <c r="W22" s="36">
        <f>VLOOKUP(F22,'[1]Proposta HNK para Tenda'!$F:$T,15,0)</f>
        <v>13.49</v>
      </c>
      <c r="X22" s="36">
        <f>VLOOKUP(F22,'[1]Proposta HNK para Tenda'!$F:$U,16,0)</f>
        <v>13.49</v>
      </c>
      <c r="Y22" s="36"/>
      <c r="Z22" s="45">
        <f t="shared" si="5"/>
        <v>0</v>
      </c>
      <c r="AA22" s="8">
        <f t="shared" si="6"/>
        <v>343449.59999999998</v>
      </c>
      <c r="AB22" s="32">
        <f>L22*12*0.6/100</f>
        <v>179.71200000000002</v>
      </c>
      <c r="AC22" s="43"/>
      <c r="AD22" s="44">
        <f t="shared" si="7"/>
        <v>0</v>
      </c>
      <c r="AE22" s="39">
        <f t="shared" si="8"/>
        <v>0</v>
      </c>
      <c r="AF22" s="39">
        <f t="shared" si="23"/>
        <v>0</v>
      </c>
      <c r="AH22" s="137">
        <v>0</v>
      </c>
      <c r="AI22" s="137">
        <f t="shared" si="9"/>
        <v>0</v>
      </c>
      <c r="AJ22" s="137">
        <f t="shared" si="10"/>
        <v>0</v>
      </c>
      <c r="AK22" s="7"/>
      <c r="AL22" s="7">
        <f t="shared" si="11"/>
        <v>0</v>
      </c>
      <c r="AM22" s="7">
        <f t="shared" si="12"/>
        <v>0</v>
      </c>
      <c r="AN22" s="7">
        <v>0</v>
      </c>
      <c r="AO22" s="137">
        <f t="shared" si="13"/>
        <v>0</v>
      </c>
      <c r="AP22" s="137">
        <f t="shared" si="14"/>
        <v>0</v>
      </c>
      <c r="AQ22" s="7">
        <f t="shared" si="15"/>
        <v>0</v>
      </c>
      <c r="AR22" s="7">
        <f t="shared" si="15"/>
        <v>0</v>
      </c>
      <c r="AS22" s="40">
        <f t="shared" si="16"/>
        <v>0</v>
      </c>
      <c r="AT22" s="83">
        <f t="shared" si="24"/>
        <v>0</v>
      </c>
      <c r="AU22" s="7">
        <f t="shared" si="17"/>
        <v>11.466666666666667</v>
      </c>
      <c r="AV22" s="40">
        <f t="shared" si="18"/>
        <v>11.466666666666667</v>
      </c>
      <c r="AW22" s="41">
        <f t="shared" si="19"/>
        <v>0.14998764516926119</v>
      </c>
      <c r="AY22" s="150">
        <f t="shared" si="29"/>
        <v>13.49</v>
      </c>
      <c r="AZ22" s="151">
        <f t="shared" si="27"/>
        <v>0</v>
      </c>
      <c r="BA22" s="160">
        <f t="shared" si="25"/>
        <v>13.49</v>
      </c>
      <c r="BB22" s="164"/>
      <c r="BD22" s="86" t="s">
        <v>121</v>
      </c>
      <c r="BE22" s="86" t="s">
        <v>263</v>
      </c>
      <c r="BF22" s="87" t="s">
        <v>268</v>
      </c>
      <c r="BG22" s="87">
        <v>392558326113</v>
      </c>
      <c r="BH22" s="86" t="s">
        <v>269</v>
      </c>
      <c r="BI22" s="86">
        <v>2911</v>
      </c>
      <c r="BJ22" s="86" t="s">
        <v>270</v>
      </c>
      <c r="BK22" s="86">
        <v>12321150</v>
      </c>
      <c r="BL22" s="86" t="s">
        <v>271</v>
      </c>
      <c r="BM22" s="86" t="s">
        <v>108</v>
      </c>
    </row>
    <row r="23" spans="1:65" ht="14.25" customHeight="1" thickBot="1" x14ac:dyDescent="0.25">
      <c r="A23" s="50">
        <v>7.9200000000000007E-2</v>
      </c>
      <c r="B23" s="27">
        <v>26</v>
      </c>
      <c r="C23" s="47">
        <f t="shared" si="20"/>
        <v>328.28282828282823</v>
      </c>
      <c r="D23" s="47" t="s">
        <v>74</v>
      </c>
      <c r="E23" s="47" t="s">
        <v>78</v>
      </c>
      <c r="F23" s="20">
        <v>904701</v>
      </c>
      <c r="G23" s="20">
        <v>1022426</v>
      </c>
      <c r="H23" s="11" t="s">
        <v>60</v>
      </c>
      <c r="I23" s="22">
        <v>24</v>
      </c>
      <c r="J23" s="22">
        <v>91</v>
      </c>
      <c r="K23" s="10">
        <v>2366</v>
      </c>
      <c r="L23" s="125">
        <v>910</v>
      </c>
      <c r="M23" s="179">
        <f t="shared" si="1"/>
        <v>10</v>
      </c>
      <c r="N23" s="84">
        <f t="shared" si="2"/>
        <v>0.38461538461538464</v>
      </c>
      <c r="O23" s="148">
        <v>122.2</v>
      </c>
      <c r="P23" s="135">
        <f t="shared" si="21"/>
        <v>5.0916666666666668</v>
      </c>
      <c r="Q23" s="13">
        <f t="shared" si="3"/>
        <v>1.44</v>
      </c>
      <c r="R23" s="13">
        <v>0.06</v>
      </c>
      <c r="S23" s="74">
        <f t="shared" si="4"/>
        <v>1.2000000000000002</v>
      </c>
      <c r="T23" s="74">
        <v>0.05</v>
      </c>
      <c r="U23" s="121">
        <f t="shared" si="22"/>
        <v>0.11</v>
      </c>
      <c r="V23" s="121">
        <v>0.11</v>
      </c>
      <c r="W23" s="36">
        <v>5.49</v>
      </c>
      <c r="X23" s="36">
        <v>5.09</v>
      </c>
      <c r="Y23" s="36"/>
      <c r="Z23" s="45">
        <f t="shared" si="5"/>
        <v>2402.4</v>
      </c>
      <c r="AA23" s="8">
        <f t="shared" si="6"/>
        <v>111202</v>
      </c>
      <c r="AB23" s="32">
        <f>L23*24*0.33/100</f>
        <v>72.072000000000003</v>
      </c>
      <c r="AC23" s="43"/>
      <c r="AD23" s="44">
        <f t="shared" si="7"/>
        <v>0.119493</v>
      </c>
      <c r="AE23" s="39">
        <f t="shared" si="8"/>
        <v>0.11</v>
      </c>
      <c r="AF23" s="39">
        <f t="shared" si="23"/>
        <v>9.4930000000000014E-3</v>
      </c>
      <c r="AH23" s="175">
        <v>36.21</v>
      </c>
      <c r="AI23" s="175">
        <f t="shared" si="9"/>
        <v>2609.72712</v>
      </c>
      <c r="AJ23" s="175">
        <f t="shared" si="10"/>
        <v>0.119493</v>
      </c>
      <c r="AK23" s="7"/>
      <c r="AL23" s="7">
        <f t="shared" si="11"/>
        <v>0</v>
      </c>
      <c r="AM23" s="7">
        <f t="shared" si="12"/>
        <v>0</v>
      </c>
      <c r="AN23" s="7">
        <v>0</v>
      </c>
      <c r="AO23" s="137">
        <f t="shared" si="13"/>
        <v>0</v>
      </c>
      <c r="AP23" s="137">
        <f t="shared" si="14"/>
        <v>0</v>
      </c>
      <c r="AQ23" s="7">
        <f t="shared" si="15"/>
        <v>2609.72712</v>
      </c>
      <c r="AR23" s="7">
        <f t="shared" si="15"/>
        <v>0.119493</v>
      </c>
      <c r="AS23" s="40">
        <f t="shared" si="16"/>
        <v>2402.4</v>
      </c>
      <c r="AT23" s="40">
        <f t="shared" si="24"/>
        <v>207.32711999999992</v>
      </c>
      <c r="AU23" s="7">
        <f t="shared" si="17"/>
        <v>5.0916666666666668</v>
      </c>
      <c r="AV23" s="40">
        <f t="shared" si="18"/>
        <v>4.9816666666666674</v>
      </c>
      <c r="AW23" s="41">
        <f t="shared" si="19"/>
        <v>2.1283562540929765E-2</v>
      </c>
      <c r="AY23" s="150">
        <f t="shared" si="29"/>
        <v>5.09</v>
      </c>
      <c r="AZ23" s="151">
        <f t="shared" si="27"/>
        <v>0</v>
      </c>
      <c r="BA23" s="160">
        <f t="shared" si="25"/>
        <v>5.09</v>
      </c>
      <c r="BB23" s="164"/>
      <c r="BD23" s="86" t="s">
        <v>121</v>
      </c>
      <c r="BE23" s="86" t="s">
        <v>263</v>
      </c>
      <c r="BF23" s="87" t="s">
        <v>268</v>
      </c>
      <c r="BG23" s="87">
        <v>392558326113</v>
      </c>
      <c r="BH23" s="86" t="s">
        <v>269</v>
      </c>
      <c r="BI23" s="86">
        <v>2911</v>
      </c>
      <c r="BJ23" s="86" t="s">
        <v>270</v>
      </c>
      <c r="BK23" s="86">
        <v>12321150</v>
      </c>
      <c r="BL23" s="86" t="s">
        <v>271</v>
      </c>
      <c r="BM23" s="86" t="s">
        <v>108</v>
      </c>
    </row>
    <row r="24" spans="1:65" ht="14.25" customHeight="1" thickBot="1" x14ac:dyDescent="0.25">
      <c r="A24" s="50">
        <v>7.9200000000000007E-2</v>
      </c>
      <c r="B24" s="27">
        <v>26</v>
      </c>
      <c r="C24" s="47">
        <f t="shared" si="20"/>
        <v>328.28282828282823</v>
      </c>
      <c r="D24" s="47" t="s">
        <v>74</v>
      </c>
      <c r="E24" s="47" t="s">
        <v>78</v>
      </c>
      <c r="F24" s="186" t="s">
        <v>253</v>
      </c>
      <c r="G24" s="186">
        <v>1228753</v>
      </c>
      <c r="H24" s="187" t="s">
        <v>246</v>
      </c>
      <c r="I24" s="186">
        <v>24</v>
      </c>
      <c r="J24" s="186">
        <v>91</v>
      </c>
      <c r="K24" s="188">
        <v>2366</v>
      </c>
      <c r="L24" s="125">
        <f>K24*1</f>
        <v>2366</v>
      </c>
      <c r="M24" s="179">
        <f t="shared" si="1"/>
        <v>26</v>
      </c>
      <c r="N24" s="84">
        <f t="shared" si="2"/>
        <v>1</v>
      </c>
      <c r="O24" s="148">
        <v>122.2</v>
      </c>
      <c r="P24" s="135">
        <f t="shared" si="21"/>
        <v>5.0916666666666668</v>
      </c>
      <c r="Q24" s="13">
        <f t="shared" si="3"/>
        <v>1.44</v>
      </c>
      <c r="R24" s="13">
        <v>0.06</v>
      </c>
      <c r="S24" s="74">
        <f t="shared" si="4"/>
        <v>1.2000000000000002</v>
      </c>
      <c r="T24" s="74">
        <v>0.05</v>
      </c>
      <c r="U24" s="121">
        <f t="shared" si="22"/>
        <v>0.11</v>
      </c>
      <c r="V24" s="121">
        <v>0.11</v>
      </c>
      <c r="W24" s="36">
        <v>5.99</v>
      </c>
      <c r="X24" s="36">
        <v>5.7900000000000009</v>
      </c>
      <c r="Y24" s="36"/>
      <c r="Z24" s="45">
        <f t="shared" si="5"/>
        <v>6246.2400000000007</v>
      </c>
      <c r="AA24" s="8">
        <f t="shared" si="6"/>
        <v>289125.2</v>
      </c>
      <c r="AB24" s="32">
        <f>L24*24*0.33/100</f>
        <v>187.38720000000001</v>
      </c>
      <c r="AC24" s="43"/>
      <c r="AD24" s="44">
        <f t="shared" si="7"/>
        <v>0.11949300000000002</v>
      </c>
      <c r="AE24" s="39">
        <f t="shared" si="8"/>
        <v>0.11</v>
      </c>
      <c r="AF24" s="39">
        <f t="shared" si="23"/>
        <v>9.4930000000000153E-3</v>
      </c>
      <c r="AH24" s="175">
        <v>36.21</v>
      </c>
      <c r="AI24" s="175">
        <f t="shared" si="9"/>
        <v>6785.2905120000005</v>
      </c>
      <c r="AJ24" s="175">
        <f t="shared" si="10"/>
        <v>0.11949300000000002</v>
      </c>
      <c r="AK24" s="7"/>
      <c r="AL24" s="7">
        <f t="shared" si="11"/>
        <v>0</v>
      </c>
      <c r="AM24" s="7">
        <f t="shared" si="12"/>
        <v>0</v>
      </c>
      <c r="AN24" s="7">
        <v>0</v>
      </c>
      <c r="AO24" s="137">
        <f t="shared" si="13"/>
        <v>0</v>
      </c>
      <c r="AP24" s="137">
        <f t="shared" si="14"/>
        <v>0</v>
      </c>
      <c r="AQ24" s="7">
        <f t="shared" si="15"/>
        <v>6785.2905120000005</v>
      </c>
      <c r="AR24" s="7">
        <f t="shared" si="15"/>
        <v>0.11949300000000002</v>
      </c>
      <c r="AS24" s="40">
        <f t="shared" si="16"/>
        <v>6246.2400000000007</v>
      </c>
      <c r="AT24" s="40">
        <f t="shared" si="24"/>
        <v>539.0505119999998</v>
      </c>
      <c r="AU24" s="7">
        <f t="shared" si="17"/>
        <v>5.0916666666666668</v>
      </c>
      <c r="AV24" s="40">
        <f t="shared" si="18"/>
        <v>4.9816666666666674</v>
      </c>
      <c r="AW24" s="41">
        <f t="shared" si="19"/>
        <v>0.13960852043753599</v>
      </c>
      <c r="AY24" s="150">
        <f t="shared" si="29"/>
        <v>5.7900000000000009</v>
      </c>
      <c r="AZ24" s="151">
        <f t="shared" si="27"/>
        <v>0</v>
      </c>
      <c r="BA24" s="160">
        <f t="shared" si="25"/>
        <v>5.7900000000000009</v>
      </c>
      <c r="BB24" s="164"/>
      <c r="BD24" s="86" t="s">
        <v>121</v>
      </c>
      <c r="BE24" s="86" t="s">
        <v>263</v>
      </c>
      <c r="BF24" s="87" t="s">
        <v>268</v>
      </c>
      <c r="BG24" s="87">
        <v>392558326113</v>
      </c>
      <c r="BH24" s="86" t="s">
        <v>269</v>
      </c>
      <c r="BI24" s="86">
        <v>2911</v>
      </c>
      <c r="BJ24" s="86" t="s">
        <v>270</v>
      </c>
      <c r="BK24" s="86">
        <v>12321150</v>
      </c>
      <c r="BL24" s="86" t="s">
        <v>271</v>
      </c>
      <c r="BM24" s="86" t="s">
        <v>108</v>
      </c>
    </row>
    <row r="25" spans="1:65" ht="14.25" customHeight="1" thickBot="1" x14ac:dyDescent="0.25">
      <c r="A25" s="52">
        <f>5*2/100</f>
        <v>0.1</v>
      </c>
      <c r="B25" s="27">
        <f>VLOOKUP(F25,Planilha3!D:F,3,0)</f>
        <v>282.36335043220521</v>
      </c>
      <c r="C25" s="47">
        <f t="shared" si="20"/>
        <v>2823.633504322052</v>
      </c>
      <c r="D25" s="47" t="s">
        <v>74</v>
      </c>
      <c r="E25" s="47" t="s">
        <v>75</v>
      </c>
      <c r="F25" s="20">
        <v>903483</v>
      </c>
      <c r="G25" s="20">
        <v>75013</v>
      </c>
      <c r="H25" s="11" t="s">
        <v>0</v>
      </c>
      <c r="I25" s="20">
        <v>2</v>
      </c>
      <c r="J25" s="20">
        <v>90</v>
      </c>
      <c r="K25" s="123">
        <f>J25*26</f>
        <v>2340</v>
      </c>
      <c r="L25" s="125">
        <v>9360</v>
      </c>
      <c r="M25" s="179">
        <f t="shared" si="1"/>
        <v>104</v>
      </c>
      <c r="N25" s="84">
        <f t="shared" si="2"/>
        <v>4</v>
      </c>
      <c r="O25" s="148">
        <v>177.63</v>
      </c>
      <c r="P25" s="135">
        <f t="shared" si="21"/>
        <v>88.814999999999998</v>
      </c>
      <c r="Q25" s="9">
        <f t="shared" si="3"/>
        <v>0</v>
      </c>
      <c r="R25" s="9">
        <v>0</v>
      </c>
      <c r="S25" s="29">
        <f t="shared" si="4"/>
        <v>0</v>
      </c>
      <c r="T25" s="29">
        <v>0</v>
      </c>
      <c r="U25" s="121">
        <f t="shared" si="22"/>
        <v>0</v>
      </c>
      <c r="V25" s="121">
        <v>0</v>
      </c>
      <c r="W25" s="36">
        <f>VLOOKUP(F25,'[1]Proposta HNK para Tenda'!$F:$T,15,0)</f>
        <v>113.99</v>
      </c>
      <c r="X25" s="36">
        <f>VLOOKUP(F25,'[1]Proposta HNK para Tenda'!$F:$U,16,0)</f>
        <v>113.99</v>
      </c>
      <c r="Y25" s="36"/>
      <c r="Z25" s="45">
        <f t="shared" si="5"/>
        <v>0</v>
      </c>
      <c r="AA25" s="8">
        <f t="shared" si="6"/>
        <v>1662616.8</v>
      </c>
      <c r="AB25" s="32">
        <f>L25*2*5/100</f>
        <v>936</v>
      </c>
      <c r="AC25" s="43"/>
      <c r="AD25" s="44">
        <f t="shared" si="7"/>
        <v>0</v>
      </c>
      <c r="AE25" s="39">
        <f t="shared" si="8"/>
        <v>0</v>
      </c>
      <c r="AF25" s="39">
        <f t="shared" si="23"/>
        <v>0</v>
      </c>
      <c r="AH25" s="137">
        <v>0</v>
      </c>
      <c r="AI25" s="137">
        <f t="shared" si="9"/>
        <v>0</v>
      </c>
      <c r="AJ25" s="137">
        <f t="shared" si="10"/>
        <v>0</v>
      </c>
      <c r="AK25" s="7"/>
      <c r="AL25" s="7">
        <f t="shared" si="11"/>
        <v>0</v>
      </c>
      <c r="AM25" s="7">
        <f t="shared" si="12"/>
        <v>0</v>
      </c>
      <c r="AN25" s="7">
        <v>0</v>
      </c>
      <c r="AO25" s="137">
        <f t="shared" si="13"/>
        <v>0</v>
      </c>
      <c r="AP25" s="137">
        <f t="shared" si="14"/>
        <v>0</v>
      </c>
      <c r="AQ25" s="7">
        <f t="shared" si="15"/>
        <v>0</v>
      </c>
      <c r="AR25" s="7">
        <f t="shared" si="15"/>
        <v>0</v>
      </c>
      <c r="AS25" s="40">
        <f t="shared" si="16"/>
        <v>0</v>
      </c>
      <c r="AT25" s="40">
        <f t="shared" si="24"/>
        <v>0</v>
      </c>
      <c r="AU25" s="7">
        <f t="shared" si="17"/>
        <v>88.814999999999998</v>
      </c>
      <c r="AV25" s="40">
        <f t="shared" si="18"/>
        <v>88.814999999999998</v>
      </c>
      <c r="AW25" s="41">
        <f t="shared" si="19"/>
        <v>0.22085270637775242</v>
      </c>
      <c r="AY25" s="150">
        <f t="shared" si="29"/>
        <v>113.99</v>
      </c>
      <c r="AZ25" s="151">
        <f t="shared" si="27"/>
        <v>0</v>
      </c>
      <c r="BA25" s="160">
        <f t="shared" si="25"/>
        <v>113.99</v>
      </c>
      <c r="BB25" s="164"/>
      <c r="BD25" s="86" t="s">
        <v>117</v>
      </c>
      <c r="BE25" s="86" t="s">
        <v>263</v>
      </c>
      <c r="BF25" s="87" t="s">
        <v>275</v>
      </c>
      <c r="BG25" s="87" t="s">
        <v>276</v>
      </c>
      <c r="BH25" s="86" t="s">
        <v>277</v>
      </c>
      <c r="BI25" s="86">
        <v>199</v>
      </c>
      <c r="BJ25" s="86" t="s">
        <v>118</v>
      </c>
      <c r="BK25" s="86">
        <v>84043610</v>
      </c>
      <c r="BL25" s="86" t="s">
        <v>117</v>
      </c>
      <c r="BM25" s="86" t="s">
        <v>119</v>
      </c>
    </row>
    <row r="26" spans="1:65" ht="14.25" customHeight="1" thickBot="1" x14ac:dyDescent="0.25">
      <c r="A26" s="52">
        <f>0.355*6/100</f>
        <v>2.1299999999999999E-2</v>
      </c>
      <c r="B26" s="27"/>
      <c r="C26" s="47">
        <f t="shared" si="20"/>
        <v>0</v>
      </c>
      <c r="D26" s="47" t="s">
        <v>74</v>
      </c>
      <c r="E26" s="47" t="s">
        <v>141</v>
      </c>
      <c r="F26" s="189" t="s">
        <v>252</v>
      </c>
      <c r="G26" s="189">
        <v>1228751</v>
      </c>
      <c r="H26" s="187" t="s">
        <v>254</v>
      </c>
      <c r="I26" s="186">
        <v>6</v>
      </c>
      <c r="J26" s="186">
        <v>350</v>
      </c>
      <c r="K26" s="188">
        <f t="shared" ref="K26:K28" si="30">J26*26</f>
        <v>9100</v>
      </c>
      <c r="L26" s="170">
        <f>K26*1</f>
        <v>9100</v>
      </c>
      <c r="M26" s="179">
        <f t="shared" si="1"/>
        <v>26</v>
      </c>
      <c r="N26" s="84">
        <f t="shared" si="2"/>
        <v>1</v>
      </c>
      <c r="O26" s="148">
        <v>33.07</v>
      </c>
      <c r="P26" s="135">
        <f t="shared" si="21"/>
        <v>5.5116666666666667</v>
      </c>
      <c r="Q26" s="9">
        <f t="shared" si="3"/>
        <v>0</v>
      </c>
      <c r="R26" s="9">
        <v>0</v>
      </c>
      <c r="S26" s="29">
        <f t="shared" si="4"/>
        <v>0</v>
      </c>
      <c r="T26" s="29">
        <v>0</v>
      </c>
      <c r="U26" s="121">
        <f t="shared" si="22"/>
        <v>0</v>
      </c>
      <c r="V26" s="121">
        <v>0</v>
      </c>
      <c r="W26" s="36">
        <v>6.99</v>
      </c>
      <c r="X26" s="36">
        <v>6.49</v>
      </c>
      <c r="Y26" s="36"/>
      <c r="Z26" s="45">
        <f t="shared" si="5"/>
        <v>0</v>
      </c>
      <c r="AA26" s="8">
        <f t="shared" si="6"/>
        <v>300937</v>
      </c>
      <c r="AB26" s="32">
        <f>L26*I26*0.35/100</f>
        <v>191.1</v>
      </c>
      <c r="AC26" s="43"/>
      <c r="AD26" s="44">
        <f t="shared" si="7"/>
        <v>0</v>
      </c>
      <c r="AE26" s="39">
        <f t="shared" si="8"/>
        <v>0</v>
      </c>
      <c r="AF26" s="39">
        <f t="shared" si="23"/>
        <v>0</v>
      </c>
      <c r="AH26" s="137">
        <v>0</v>
      </c>
      <c r="AI26" s="137">
        <f t="shared" si="9"/>
        <v>0</v>
      </c>
      <c r="AJ26" s="137">
        <f t="shared" si="10"/>
        <v>0</v>
      </c>
      <c r="AK26" s="7"/>
      <c r="AL26" s="7">
        <f t="shared" si="11"/>
        <v>0</v>
      </c>
      <c r="AM26" s="7">
        <f t="shared" si="12"/>
        <v>0</v>
      </c>
      <c r="AN26" s="7">
        <v>0</v>
      </c>
      <c r="AO26" s="137">
        <f t="shared" si="13"/>
        <v>0</v>
      </c>
      <c r="AP26" s="137">
        <f t="shared" si="14"/>
        <v>0</v>
      </c>
      <c r="AQ26" s="7">
        <f t="shared" si="15"/>
        <v>0</v>
      </c>
      <c r="AR26" s="7">
        <f t="shared" si="15"/>
        <v>0</v>
      </c>
      <c r="AS26" s="40">
        <f t="shared" si="16"/>
        <v>0</v>
      </c>
      <c r="AT26" s="40">
        <f t="shared" si="24"/>
        <v>0</v>
      </c>
      <c r="AU26" s="7">
        <f t="shared" si="17"/>
        <v>5.5116666666666667</v>
      </c>
      <c r="AV26" s="40">
        <f t="shared" si="18"/>
        <v>5.5116666666666667</v>
      </c>
      <c r="AW26" s="41">
        <f t="shared" si="19"/>
        <v>0.15074473549049822</v>
      </c>
      <c r="AY26" s="150">
        <f t="shared" si="29"/>
        <v>6.49</v>
      </c>
      <c r="AZ26" s="151">
        <f t="shared" si="27"/>
        <v>0</v>
      </c>
      <c r="BA26" s="160">
        <f t="shared" si="25"/>
        <v>6.49</v>
      </c>
      <c r="BB26" s="164"/>
      <c r="BD26" s="86" t="s">
        <v>106</v>
      </c>
      <c r="BE26" s="86" t="s">
        <v>263</v>
      </c>
      <c r="BF26" s="87" t="s">
        <v>264</v>
      </c>
      <c r="BG26" s="87">
        <v>387000650117</v>
      </c>
      <c r="BH26" s="86" t="s">
        <v>265</v>
      </c>
      <c r="BI26" s="86">
        <v>2222</v>
      </c>
      <c r="BJ26" s="86" t="s">
        <v>266</v>
      </c>
      <c r="BK26" s="86">
        <v>13312250</v>
      </c>
      <c r="BL26" s="86" t="s">
        <v>267</v>
      </c>
      <c r="BM26" s="86" t="s">
        <v>108</v>
      </c>
    </row>
    <row r="27" spans="1:65" ht="14.25" customHeight="1" thickBot="1" x14ac:dyDescent="0.25">
      <c r="A27" s="52">
        <f>0.355*24/100</f>
        <v>8.5199999999999998E-2</v>
      </c>
      <c r="B27" s="27"/>
      <c r="C27" s="47">
        <f t="shared" si="20"/>
        <v>0</v>
      </c>
      <c r="D27" s="47" t="s">
        <v>74</v>
      </c>
      <c r="E27" s="47" t="s">
        <v>141</v>
      </c>
      <c r="F27" s="190" t="s">
        <v>250</v>
      </c>
      <c r="G27" s="190">
        <v>1149563</v>
      </c>
      <c r="H27" s="191" t="s">
        <v>255</v>
      </c>
      <c r="I27" s="192">
        <v>24</v>
      </c>
      <c r="J27" s="192">
        <v>84</v>
      </c>
      <c r="K27" s="193">
        <f t="shared" si="30"/>
        <v>2184</v>
      </c>
      <c r="L27" s="170">
        <f>K27*2</f>
        <v>4368</v>
      </c>
      <c r="M27" s="179">
        <f t="shared" si="1"/>
        <v>52</v>
      </c>
      <c r="N27" s="84">
        <f t="shared" si="2"/>
        <v>2</v>
      </c>
      <c r="O27" s="148">
        <v>170.82</v>
      </c>
      <c r="P27" s="135">
        <f t="shared" si="21"/>
        <v>7.1174999999999997</v>
      </c>
      <c r="Q27" s="9">
        <f t="shared" si="3"/>
        <v>0</v>
      </c>
      <c r="R27" s="9">
        <v>0</v>
      </c>
      <c r="S27" s="29">
        <f t="shared" si="4"/>
        <v>0</v>
      </c>
      <c r="T27" s="29">
        <v>0</v>
      </c>
      <c r="U27" s="121">
        <f t="shared" si="22"/>
        <v>0</v>
      </c>
      <c r="V27" s="121">
        <v>0</v>
      </c>
      <c r="W27" s="36">
        <v>9.49</v>
      </c>
      <c r="X27" s="36">
        <v>8.49</v>
      </c>
      <c r="Y27" s="36"/>
      <c r="Z27" s="45">
        <f t="shared" si="5"/>
        <v>0</v>
      </c>
      <c r="AA27" s="8">
        <f t="shared" si="6"/>
        <v>746141.76</v>
      </c>
      <c r="AB27" s="32">
        <f t="shared" ref="AB27" si="31">L27*I27*0.35/100</f>
        <v>366.91199999999998</v>
      </c>
      <c r="AC27" s="43"/>
      <c r="AD27" s="44">
        <f t="shared" si="7"/>
        <v>0</v>
      </c>
      <c r="AE27" s="39">
        <f t="shared" si="8"/>
        <v>0</v>
      </c>
      <c r="AF27" s="39">
        <f t="shared" si="23"/>
        <v>0</v>
      </c>
      <c r="AH27" s="137">
        <v>0</v>
      </c>
      <c r="AI27" s="137">
        <f t="shared" si="9"/>
        <v>0</v>
      </c>
      <c r="AJ27" s="137">
        <f t="shared" si="10"/>
        <v>0</v>
      </c>
      <c r="AK27" s="7"/>
      <c r="AL27" s="7">
        <f t="shared" si="11"/>
        <v>0</v>
      </c>
      <c r="AM27" s="7">
        <f t="shared" si="12"/>
        <v>0</v>
      </c>
      <c r="AN27" s="7">
        <v>0</v>
      </c>
      <c r="AO27" s="137">
        <f t="shared" si="13"/>
        <v>0</v>
      </c>
      <c r="AP27" s="137">
        <f t="shared" si="14"/>
        <v>0</v>
      </c>
      <c r="AQ27" s="7">
        <f t="shared" si="15"/>
        <v>0</v>
      </c>
      <c r="AR27" s="7">
        <f t="shared" si="15"/>
        <v>0</v>
      </c>
      <c r="AS27" s="40">
        <f t="shared" si="16"/>
        <v>0</v>
      </c>
      <c r="AT27" s="40">
        <f t="shared" si="24"/>
        <v>0</v>
      </c>
      <c r="AU27" s="7">
        <f t="shared" si="17"/>
        <v>7.1174999999999997</v>
      </c>
      <c r="AV27" s="40">
        <f t="shared" si="18"/>
        <v>7.1174999999999997</v>
      </c>
      <c r="AW27" s="41">
        <f t="shared" si="19"/>
        <v>0.16166077738515908</v>
      </c>
      <c r="AY27" s="150">
        <f t="shared" si="29"/>
        <v>8.49</v>
      </c>
      <c r="AZ27" s="151">
        <f t="shared" si="27"/>
        <v>0</v>
      </c>
      <c r="BA27" s="160">
        <f t="shared" si="25"/>
        <v>8.49</v>
      </c>
      <c r="BB27" s="164"/>
      <c r="BD27" s="86" t="s">
        <v>106</v>
      </c>
      <c r="BE27" s="86" t="s">
        <v>263</v>
      </c>
      <c r="BF27" s="87" t="s">
        <v>264</v>
      </c>
      <c r="BG27" s="87">
        <v>387000650117</v>
      </c>
      <c r="BH27" s="86" t="s">
        <v>265</v>
      </c>
      <c r="BI27" s="86">
        <v>2222</v>
      </c>
      <c r="BJ27" s="86" t="s">
        <v>266</v>
      </c>
      <c r="BK27" s="86">
        <v>13312250</v>
      </c>
      <c r="BL27" s="86" t="s">
        <v>267</v>
      </c>
      <c r="BM27" s="86" t="s">
        <v>108</v>
      </c>
    </row>
    <row r="28" spans="1:65" ht="14.25" customHeight="1" thickBot="1" x14ac:dyDescent="0.25">
      <c r="A28" s="52">
        <f>0.6*12/100</f>
        <v>7.1999999999999995E-2</v>
      </c>
      <c r="B28" s="27"/>
      <c r="C28" s="47">
        <f t="shared" si="20"/>
        <v>0</v>
      </c>
      <c r="D28" s="47" t="s">
        <v>74</v>
      </c>
      <c r="E28" s="47" t="s">
        <v>141</v>
      </c>
      <c r="F28" s="190" t="s">
        <v>251</v>
      </c>
      <c r="G28" s="190">
        <v>1149565</v>
      </c>
      <c r="H28" s="191" t="s">
        <v>256</v>
      </c>
      <c r="I28" s="192">
        <v>12</v>
      </c>
      <c r="J28" s="192">
        <v>60</v>
      </c>
      <c r="K28" s="193">
        <f t="shared" si="30"/>
        <v>1560</v>
      </c>
      <c r="L28" s="170">
        <f>J28*15</f>
        <v>900</v>
      </c>
      <c r="M28" s="179">
        <f t="shared" si="1"/>
        <v>15</v>
      </c>
      <c r="N28" s="84">
        <f t="shared" si="2"/>
        <v>0.57692307692307687</v>
      </c>
      <c r="O28" s="148">
        <v>136.71</v>
      </c>
      <c r="P28" s="135">
        <f t="shared" si="21"/>
        <v>11.3925</v>
      </c>
      <c r="Q28" s="9">
        <f t="shared" si="3"/>
        <v>0</v>
      </c>
      <c r="R28" s="9">
        <v>0</v>
      </c>
      <c r="S28" s="29">
        <f t="shared" si="4"/>
        <v>0</v>
      </c>
      <c r="T28" s="29">
        <v>0</v>
      </c>
      <c r="U28" s="121">
        <f t="shared" si="22"/>
        <v>0</v>
      </c>
      <c r="V28" s="121">
        <v>0</v>
      </c>
      <c r="W28" s="36">
        <v>15.19</v>
      </c>
      <c r="X28" s="36">
        <v>13.29</v>
      </c>
      <c r="Y28" s="36"/>
      <c r="Z28" s="45">
        <f t="shared" si="5"/>
        <v>0</v>
      </c>
      <c r="AA28" s="8">
        <f t="shared" si="6"/>
        <v>123039</v>
      </c>
      <c r="AB28" s="32">
        <f>L28*I28*0.6/100</f>
        <v>64.8</v>
      </c>
      <c r="AC28" s="43"/>
      <c r="AD28" s="44">
        <f t="shared" si="7"/>
        <v>0</v>
      </c>
      <c r="AE28" s="39">
        <f t="shared" si="8"/>
        <v>0</v>
      </c>
      <c r="AF28" s="39">
        <f t="shared" si="23"/>
        <v>0</v>
      </c>
      <c r="AH28" s="137">
        <v>0</v>
      </c>
      <c r="AI28" s="137">
        <f t="shared" si="9"/>
        <v>0</v>
      </c>
      <c r="AJ28" s="137">
        <f t="shared" si="10"/>
        <v>0</v>
      </c>
      <c r="AK28" s="7"/>
      <c r="AL28" s="7">
        <f t="shared" si="11"/>
        <v>0</v>
      </c>
      <c r="AM28" s="7">
        <f t="shared" si="12"/>
        <v>0</v>
      </c>
      <c r="AN28" s="7">
        <v>0</v>
      </c>
      <c r="AO28" s="137">
        <f t="shared" si="13"/>
        <v>0</v>
      </c>
      <c r="AP28" s="137">
        <f t="shared" si="14"/>
        <v>0</v>
      </c>
      <c r="AQ28" s="7">
        <f t="shared" si="15"/>
        <v>0</v>
      </c>
      <c r="AR28" s="7">
        <f t="shared" si="15"/>
        <v>0</v>
      </c>
      <c r="AS28" s="40">
        <f t="shared" si="16"/>
        <v>0</v>
      </c>
      <c r="AT28" s="40">
        <f t="shared" si="24"/>
        <v>0</v>
      </c>
      <c r="AU28" s="7">
        <f t="shared" si="17"/>
        <v>11.3925</v>
      </c>
      <c r="AV28" s="40">
        <f t="shared" si="18"/>
        <v>11.3925</v>
      </c>
      <c r="AW28" s="41">
        <f t="shared" si="19"/>
        <v>0.14277652370203153</v>
      </c>
      <c r="AY28" s="150">
        <f t="shared" si="29"/>
        <v>13.29</v>
      </c>
      <c r="AZ28" s="151">
        <f t="shared" si="27"/>
        <v>0</v>
      </c>
      <c r="BA28" s="160">
        <f t="shared" si="25"/>
        <v>13.29</v>
      </c>
      <c r="BB28" s="164"/>
      <c r="BD28" s="86" t="s">
        <v>106</v>
      </c>
      <c r="BE28" s="86" t="s">
        <v>263</v>
      </c>
      <c r="BF28" s="87" t="s">
        <v>264</v>
      </c>
      <c r="BG28" s="87">
        <v>387000650117</v>
      </c>
      <c r="BH28" s="86" t="s">
        <v>265</v>
      </c>
      <c r="BI28" s="86">
        <v>2222</v>
      </c>
      <c r="BJ28" s="86" t="s">
        <v>266</v>
      </c>
      <c r="BK28" s="86">
        <v>13312250</v>
      </c>
      <c r="BL28" s="86" t="s">
        <v>267</v>
      </c>
      <c r="BM28" s="86" t="s">
        <v>108</v>
      </c>
    </row>
    <row r="29" spans="1:65" s="106" customFormat="1" ht="14.25" customHeight="1" thickBot="1" x14ac:dyDescent="0.25">
      <c r="A29" s="89">
        <v>7.1999999999999995E-2</v>
      </c>
      <c r="B29" s="27">
        <f>VLOOKUP(F29,Planilha3!D:F,3,0)</f>
        <v>7.4611665297500274</v>
      </c>
      <c r="C29" s="90">
        <f t="shared" si="20"/>
        <v>103.62731291319483</v>
      </c>
      <c r="D29" s="90" t="s">
        <v>76</v>
      </c>
      <c r="E29" s="90" t="s">
        <v>80</v>
      </c>
      <c r="F29" s="91">
        <v>902832</v>
      </c>
      <c r="G29" s="91">
        <v>1046669</v>
      </c>
      <c r="H29" s="92" t="s">
        <v>28</v>
      </c>
      <c r="I29" s="93">
        <v>12</v>
      </c>
      <c r="J29" s="93">
        <v>60</v>
      </c>
      <c r="K29" s="94">
        <f>J29*24</f>
        <v>1440</v>
      </c>
      <c r="L29" s="125">
        <v>120</v>
      </c>
      <c r="M29" s="180">
        <f t="shared" si="1"/>
        <v>2</v>
      </c>
      <c r="N29" s="95">
        <f t="shared" si="2"/>
        <v>8.3333333333333329E-2</v>
      </c>
      <c r="O29" s="148">
        <v>134.52000000000001</v>
      </c>
      <c r="P29" s="135">
        <f t="shared" si="21"/>
        <v>11.21</v>
      </c>
      <c r="Q29" s="96">
        <f t="shared" si="3"/>
        <v>0</v>
      </c>
      <c r="R29" s="96">
        <v>0</v>
      </c>
      <c r="S29" s="97">
        <f t="shared" si="4"/>
        <v>0</v>
      </c>
      <c r="T29" s="97">
        <v>0</v>
      </c>
      <c r="U29" s="121">
        <f t="shared" si="22"/>
        <v>0</v>
      </c>
      <c r="V29" s="121">
        <v>0</v>
      </c>
      <c r="W29" s="36">
        <f>VLOOKUP(F29,'[1]Proposta HNK para Tenda'!$F:$T,15,0)</f>
        <v>14.19</v>
      </c>
      <c r="X29" s="36">
        <f>VLOOKUP(F29,'[1]Proposta HNK para Tenda'!$F:$U,16,0)</f>
        <v>14.19</v>
      </c>
      <c r="Y29" s="36"/>
      <c r="Z29" s="98">
        <f t="shared" si="5"/>
        <v>0</v>
      </c>
      <c r="AA29" s="99">
        <f t="shared" si="6"/>
        <v>16142.400000000001</v>
      </c>
      <c r="AB29" s="100">
        <f>L29*12*0.6/100</f>
        <v>8.64</v>
      </c>
      <c r="AC29" s="101"/>
      <c r="AD29" s="44">
        <f t="shared" si="7"/>
        <v>0</v>
      </c>
      <c r="AE29" s="102">
        <f t="shared" si="8"/>
        <v>0</v>
      </c>
      <c r="AF29" s="102">
        <f t="shared" si="23"/>
        <v>0</v>
      </c>
      <c r="AH29" s="137">
        <v>0</v>
      </c>
      <c r="AI29" s="138">
        <f t="shared" si="9"/>
        <v>0</v>
      </c>
      <c r="AJ29" s="138">
        <f t="shared" si="10"/>
        <v>0</v>
      </c>
      <c r="AK29" s="103"/>
      <c r="AL29" s="103">
        <f t="shared" si="11"/>
        <v>0</v>
      </c>
      <c r="AM29" s="103">
        <f t="shared" si="12"/>
        <v>0</v>
      </c>
      <c r="AN29" s="7">
        <v>0</v>
      </c>
      <c r="AO29" s="138">
        <f t="shared" si="13"/>
        <v>0</v>
      </c>
      <c r="AP29" s="138">
        <f t="shared" si="14"/>
        <v>0</v>
      </c>
      <c r="AQ29" s="103">
        <f t="shared" si="15"/>
        <v>0</v>
      </c>
      <c r="AR29" s="103">
        <f t="shared" si="15"/>
        <v>0</v>
      </c>
      <c r="AS29" s="104">
        <f t="shared" si="16"/>
        <v>0</v>
      </c>
      <c r="AT29" s="104">
        <f t="shared" si="24"/>
        <v>0</v>
      </c>
      <c r="AU29" s="103">
        <f t="shared" si="17"/>
        <v>11.21</v>
      </c>
      <c r="AV29" s="104">
        <f t="shared" si="18"/>
        <v>11.21</v>
      </c>
      <c r="AW29" s="105">
        <f t="shared" si="19"/>
        <v>0.21000704721634944</v>
      </c>
      <c r="AY29" s="150">
        <f t="shared" si="29"/>
        <v>14.19</v>
      </c>
      <c r="AZ29" s="151">
        <f t="shared" si="27"/>
        <v>0</v>
      </c>
      <c r="BA29" s="160">
        <f t="shared" si="25"/>
        <v>14.19</v>
      </c>
      <c r="BB29" s="164"/>
      <c r="BD29" s="86" t="s">
        <v>106</v>
      </c>
      <c r="BE29" s="86" t="s">
        <v>263</v>
      </c>
      <c r="BF29" s="87" t="s">
        <v>264</v>
      </c>
      <c r="BG29" s="87">
        <v>387000650117</v>
      </c>
      <c r="BH29" s="86" t="s">
        <v>265</v>
      </c>
      <c r="BI29" s="86">
        <v>2222</v>
      </c>
      <c r="BJ29" s="86" t="s">
        <v>266</v>
      </c>
      <c r="BK29" s="86">
        <v>13312250</v>
      </c>
      <c r="BL29" s="86" t="s">
        <v>267</v>
      </c>
      <c r="BM29" s="86" t="s">
        <v>108</v>
      </c>
    </row>
    <row r="30" spans="1:65" s="106" customFormat="1" ht="14.25" customHeight="1" thickBot="1" x14ac:dyDescent="0.25">
      <c r="A30" s="89">
        <v>7.1999999999999995E-2</v>
      </c>
      <c r="B30" s="27">
        <f>VLOOKUP(F30,Planilha3!D:F,3,0)</f>
        <v>5.9481990031035448</v>
      </c>
      <c r="C30" s="90">
        <f t="shared" si="20"/>
        <v>82.613875043104798</v>
      </c>
      <c r="D30" s="90" t="s">
        <v>76</v>
      </c>
      <c r="E30" s="90" t="s">
        <v>80</v>
      </c>
      <c r="F30" s="93">
        <v>900118</v>
      </c>
      <c r="G30" s="93">
        <v>1017028</v>
      </c>
      <c r="H30" s="92" t="s">
        <v>26</v>
      </c>
      <c r="I30" s="93">
        <v>12</v>
      </c>
      <c r="J30" s="93">
        <v>60</v>
      </c>
      <c r="K30" s="94">
        <f t="shared" ref="K30:K39" si="32">J30*24</f>
        <v>1440</v>
      </c>
      <c r="L30" s="125">
        <v>120</v>
      </c>
      <c r="M30" s="180">
        <f t="shared" si="1"/>
        <v>2</v>
      </c>
      <c r="N30" s="95">
        <f t="shared" si="2"/>
        <v>8.3333333333333329E-2</v>
      </c>
      <c r="O30" s="148">
        <v>134.52000000000001</v>
      </c>
      <c r="P30" s="135">
        <f t="shared" si="21"/>
        <v>11.21</v>
      </c>
      <c r="Q30" s="96">
        <f t="shared" si="3"/>
        <v>0</v>
      </c>
      <c r="R30" s="96">
        <v>0</v>
      </c>
      <c r="S30" s="97">
        <f t="shared" si="4"/>
        <v>0</v>
      </c>
      <c r="T30" s="97">
        <v>0</v>
      </c>
      <c r="U30" s="121">
        <f t="shared" si="22"/>
        <v>0</v>
      </c>
      <c r="V30" s="121">
        <v>0</v>
      </c>
      <c r="W30" s="36">
        <f>VLOOKUP(F30,'[1]Proposta HNK para Tenda'!$F:$T,15,0)</f>
        <v>14.19</v>
      </c>
      <c r="X30" s="36">
        <f>VLOOKUP(F30,'[1]Proposta HNK para Tenda'!$F:$U,16,0)</f>
        <v>14.19</v>
      </c>
      <c r="Y30" s="36"/>
      <c r="Z30" s="98">
        <f t="shared" si="5"/>
        <v>0</v>
      </c>
      <c r="AA30" s="99">
        <f t="shared" si="6"/>
        <v>16142.400000000001</v>
      </c>
      <c r="AB30" s="100">
        <f>L30*12*0.6/100</f>
        <v>8.64</v>
      </c>
      <c r="AC30" s="101"/>
      <c r="AD30" s="44">
        <f t="shared" si="7"/>
        <v>0</v>
      </c>
      <c r="AE30" s="102">
        <f t="shared" si="8"/>
        <v>0</v>
      </c>
      <c r="AF30" s="102">
        <f t="shared" si="23"/>
        <v>0</v>
      </c>
      <c r="AH30" s="137">
        <v>0</v>
      </c>
      <c r="AI30" s="138">
        <f t="shared" si="9"/>
        <v>0</v>
      </c>
      <c r="AJ30" s="138">
        <f t="shared" si="10"/>
        <v>0</v>
      </c>
      <c r="AK30" s="103"/>
      <c r="AL30" s="103">
        <f t="shared" si="11"/>
        <v>0</v>
      </c>
      <c r="AM30" s="103">
        <f t="shared" si="12"/>
        <v>0</v>
      </c>
      <c r="AN30" s="7">
        <v>0</v>
      </c>
      <c r="AO30" s="138">
        <f t="shared" si="13"/>
        <v>0</v>
      </c>
      <c r="AP30" s="138">
        <f t="shared" si="14"/>
        <v>0</v>
      </c>
      <c r="AQ30" s="103">
        <f t="shared" si="15"/>
        <v>0</v>
      </c>
      <c r="AR30" s="103">
        <f t="shared" si="15"/>
        <v>0</v>
      </c>
      <c r="AS30" s="104">
        <f t="shared" si="16"/>
        <v>0</v>
      </c>
      <c r="AT30" s="104">
        <f t="shared" si="24"/>
        <v>0</v>
      </c>
      <c r="AU30" s="103">
        <f t="shared" si="17"/>
        <v>11.21</v>
      </c>
      <c r="AV30" s="104">
        <f t="shared" si="18"/>
        <v>11.21</v>
      </c>
      <c r="AW30" s="105">
        <f t="shared" si="19"/>
        <v>0.21000704721634944</v>
      </c>
      <c r="AY30" s="150">
        <f t="shared" si="29"/>
        <v>14.19</v>
      </c>
      <c r="AZ30" s="151">
        <f t="shared" si="27"/>
        <v>0</v>
      </c>
      <c r="BA30" s="160">
        <f t="shared" si="25"/>
        <v>14.19</v>
      </c>
      <c r="BB30" s="164"/>
      <c r="BD30" s="86" t="s">
        <v>106</v>
      </c>
      <c r="BE30" s="86" t="s">
        <v>263</v>
      </c>
      <c r="BF30" s="87" t="s">
        <v>264</v>
      </c>
      <c r="BG30" s="87">
        <v>387000650117</v>
      </c>
      <c r="BH30" s="86" t="s">
        <v>265</v>
      </c>
      <c r="BI30" s="86">
        <v>2222</v>
      </c>
      <c r="BJ30" s="86" t="s">
        <v>266</v>
      </c>
      <c r="BK30" s="86">
        <v>13312250</v>
      </c>
      <c r="BL30" s="86" t="s">
        <v>267</v>
      </c>
      <c r="BM30" s="86" t="s">
        <v>108</v>
      </c>
    </row>
    <row r="31" spans="1:65" s="106" customFormat="1" ht="14.25" customHeight="1" thickBot="1" x14ac:dyDescent="0.25">
      <c r="A31" s="89">
        <v>4.2000000000000003E-2</v>
      </c>
      <c r="B31" s="27">
        <f>VLOOKUP(F31,Planilha3!D:F,3,0)</f>
        <v>27.698971230513877</v>
      </c>
      <c r="C31" s="90">
        <f t="shared" si="20"/>
        <v>659.49931501223512</v>
      </c>
      <c r="D31" s="90" t="s">
        <v>76</v>
      </c>
      <c r="E31" s="90" t="s">
        <v>80</v>
      </c>
      <c r="F31" s="107">
        <v>904451</v>
      </c>
      <c r="G31" s="107">
        <v>1147973</v>
      </c>
      <c r="H31" s="92" t="s">
        <v>23</v>
      </c>
      <c r="I31" s="93">
        <v>12</v>
      </c>
      <c r="J31" s="93">
        <v>280</v>
      </c>
      <c r="K31" s="94">
        <f t="shared" si="32"/>
        <v>6720</v>
      </c>
      <c r="L31" s="125">
        <v>6720</v>
      </c>
      <c r="M31" s="180">
        <f t="shared" si="1"/>
        <v>24</v>
      </c>
      <c r="N31" s="95">
        <f>M31/26</f>
        <v>0.92307692307692313</v>
      </c>
      <c r="O31" s="148">
        <v>57.73</v>
      </c>
      <c r="P31" s="135">
        <f t="shared" si="21"/>
        <v>4.8108333333333331</v>
      </c>
      <c r="Q31" s="108">
        <f t="shared" si="3"/>
        <v>3</v>
      </c>
      <c r="R31" s="108">
        <v>0.25</v>
      </c>
      <c r="S31" s="122">
        <f t="shared" si="4"/>
        <v>0.72</v>
      </c>
      <c r="T31" s="122">
        <v>0.06</v>
      </c>
      <c r="U31" s="121">
        <f t="shared" si="22"/>
        <v>0.31</v>
      </c>
      <c r="V31" s="121">
        <v>0.31</v>
      </c>
      <c r="W31" s="36">
        <f>VLOOKUP(F31,'[1]Proposta HNK para Tenda'!$F:$T,15,0)</f>
        <v>6.09</v>
      </c>
      <c r="X31" s="36">
        <f>VLOOKUP(F31,'[1]Proposta HNK para Tenda'!$F:$U,16,0)</f>
        <v>5.3900000000000006</v>
      </c>
      <c r="Y31" s="36"/>
      <c r="Z31" s="98">
        <f t="shared" si="5"/>
        <v>24998.399999999998</v>
      </c>
      <c r="AA31" s="99">
        <f t="shared" si="6"/>
        <v>387945.6</v>
      </c>
      <c r="AB31" s="100">
        <f>L31*12*0.35/100</f>
        <v>282.24</v>
      </c>
      <c r="AC31" s="101"/>
      <c r="AD31" s="44">
        <f t="shared" si="7"/>
        <v>0.31429999999999997</v>
      </c>
      <c r="AE31" s="102">
        <f t="shared" si="8"/>
        <v>0.31</v>
      </c>
      <c r="AF31" s="102">
        <f t="shared" si="23"/>
        <v>4.2999999999999705E-3</v>
      </c>
      <c r="AH31" s="175">
        <v>89.8</v>
      </c>
      <c r="AI31" s="176">
        <f t="shared" si="9"/>
        <v>25345.151999999998</v>
      </c>
      <c r="AJ31" s="176">
        <f t="shared" si="10"/>
        <v>0.31429999999999997</v>
      </c>
      <c r="AK31" s="103"/>
      <c r="AL31" s="103">
        <f t="shared" si="11"/>
        <v>0</v>
      </c>
      <c r="AM31" s="103">
        <f t="shared" si="12"/>
        <v>0</v>
      </c>
      <c r="AN31" s="7">
        <v>0</v>
      </c>
      <c r="AO31" s="138">
        <f t="shared" si="13"/>
        <v>0</v>
      </c>
      <c r="AP31" s="138">
        <f t="shared" si="14"/>
        <v>0</v>
      </c>
      <c r="AQ31" s="103">
        <f t="shared" si="15"/>
        <v>25345.151999999998</v>
      </c>
      <c r="AR31" s="103">
        <f t="shared" si="15"/>
        <v>0.31429999999999997</v>
      </c>
      <c r="AS31" s="104">
        <f t="shared" si="16"/>
        <v>24998.399999999998</v>
      </c>
      <c r="AT31" s="104">
        <f t="shared" si="24"/>
        <v>346.75200000000041</v>
      </c>
      <c r="AU31" s="103">
        <f t="shared" si="17"/>
        <v>4.8108333333333331</v>
      </c>
      <c r="AV31" s="104">
        <f t="shared" si="18"/>
        <v>4.5008333333333335</v>
      </c>
      <c r="AW31" s="105">
        <f t="shared" si="19"/>
        <v>0.1649659863945579</v>
      </c>
      <c r="AY31" s="150">
        <f t="shared" si="29"/>
        <v>5.3900000000000006</v>
      </c>
      <c r="AZ31" s="151">
        <f t="shared" si="27"/>
        <v>0</v>
      </c>
      <c r="BA31" s="160">
        <f t="shared" si="25"/>
        <v>5.3900000000000006</v>
      </c>
      <c r="BB31" s="164"/>
      <c r="BD31" s="86" t="s">
        <v>106</v>
      </c>
      <c r="BE31" s="86" t="s">
        <v>263</v>
      </c>
      <c r="BF31" s="87" t="s">
        <v>264</v>
      </c>
      <c r="BG31" s="87">
        <v>387000650117</v>
      </c>
      <c r="BH31" s="86" t="s">
        <v>265</v>
      </c>
      <c r="BI31" s="86">
        <v>2222</v>
      </c>
      <c r="BJ31" s="86" t="s">
        <v>266</v>
      </c>
      <c r="BK31" s="86">
        <v>13312250</v>
      </c>
      <c r="BL31" s="86" t="s">
        <v>267</v>
      </c>
      <c r="BM31" s="86" t="s">
        <v>108</v>
      </c>
    </row>
    <row r="32" spans="1:65" s="106" customFormat="1" ht="14.25" customHeight="1" thickBot="1" x14ac:dyDescent="0.25">
      <c r="A32" s="89">
        <v>7.1999999999999995E-2</v>
      </c>
      <c r="B32" s="27">
        <f>VLOOKUP(F32,Planilha3!D:F,3,0)</f>
        <v>2.9586870052133625</v>
      </c>
      <c r="C32" s="90">
        <f t="shared" si="20"/>
        <v>41.092875072407814</v>
      </c>
      <c r="D32" s="90" t="s">
        <v>76</v>
      </c>
      <c r="E32" s="90" t="s">
        <v>80</v>
      </c>
      <c r="F32" s="91">
        <v>904742</v>
      </c>
      <c r="G32" s="91">
        <v>1169732</v>
      </c>
      <c r="H32" s="92" t="s">
        <v>56</v>
      </c>
      <c r="I32" s="93">
        <v>12</v>
      </c>
      <c r="J32" s="93">
        <v>60</v>
      </c>
      <c r="K32" s="94">
        <f t="shared" si="32"/>
        <v>1440</v>
      </c>
      <c r="L32" s="125">
        <v>120</v>
      </c>
      <c r="M32" s="180">
        <f t="shared" si="1"/>
        <v>2</v>
      </c>
      <c r="N32" s="95">
        <f t="shared" ref="N32:N47" si="33">L32/K32</f>
        <v>8.3333333333333329E-2</v>
      </c>
      <c r="O32" s="148">
        <v>134.52000000000001</v>
      </c>
      <c r="P32" s="135">
        <f t="shared" si="21"/>
        <v>11.21</v>
      </c>
      <c r="Q32" s="96">
        <f t="shared" si="3"/>
        <v>0</v>
      </c>
      <c r="R32" s="96">
        <v>0</v>
      </c>
      <c r="S32" s="97">
        <f t="shared" si="4"/>
        <v>0</v>
      </c>
      <c r="T32" s="97">
        <v>0</v>
      </c>
      <c r="U32" s="121">
        <f t="shared" si="22"/>
        <v>0</v>
      </c>
      <c r="V32" s="121">
        <v>0</v>
      </c>
      <c r="W32" s="36">
        <f>VLOOKUP(F32,'[1]Proposta HNK para Tenda'!$F:$T,15,0)</f>
        <v>14.19</v>
      </c>
      <c r="X32" s="36">
        <f>VLOOKUP(F32,'[1]Proposta HNK para Tenda'!$F:$U,16,0)</f>
        <v>14.19</v>
      </c>
      <c r="Y32" s="36"/>
      <c r="Z32" s="98">
        <f t="shared" si="5"/>
        <v>0</v>
      </c>
      <c r="AA32" s="99">
        <f t="shared" si="6"/>
        <v>16142.400000000001</v>
      </c>
      <c r="AB32" s="100">
        <f>L32*12*0.6/100</f>
        <v>8.64</v>
      </c>
      <c r="AC32" s="101"/>
      <c r="AD32" s="44">
        <f t="shared" si="7"/>
        <v>0</v>
      </c>
      <c r="AE32" s="102">
        <f t="shared" si="8"/>
        <v>0</v>
      </c>
      <c r="AF32" s="102">
        <f t="shared" si="23"/>
        <v>0</v>
      </c>
      <c r="AH32" s="137">
        <v>0</v>
      </c>
      <c r="AI32" s="138">
        <f t="shared" si="9"/>
        <v>0</v>
      </c>
      <c r="AJ32" s="138">
        <f t="shared" si="10"/>
        <v>0</v>
      </c>
      <c r="AK32" s="103"/>
      <c r="AL32" s="103">
        <f t="shared" si="11"/>
        <v>0</v>
      </c>
      <c r="AM32" s="103">
        <f t="shared" si="12"/>
        <v>0</v>
      </c>
      <c r="AN32" s="7">
        <v>0</v>
      </c>
      <c r="AO32" s="138">
        <f t="shared" si="13"/>
        <v>0</v>
      </c>
      <c r="AP32" s="138">
        <f t="shared" si="14"/>
        <v>0</v>
      </c>
      <c r="AQ32" s="103">
        <f t="shared" si="15"/>
        <v>0</v>
      </c>
      <c r="AR32" s="103">
        <f t="shared" si="15"/>
        <v>0</v>
      </c>
      <c r="AS32" s="104">
        <f t="shared" si="16"/>
        <v>0</v>
      </c>
      <c r="AT32" s="104">
        <f t="shared" si="24"/>
        <v>0</v>
      </c>
      <c r="AU32" s="103">
        <f t="shared" si="17"/>
        <v>11.21</v>
      </c>
      <c r="AV32" s="104">
        <f t="shared" si="18"/>
        <v>11.21</v>
      </c>
      <c r="AW32" s="105">
        <f t="shared" si="19"/>
        <v>0.21000704721634944</v>
      </c>
      <c r="AY32" s="150">
        <f t="shared" si="29"/>
        <v>14.19</v>
      </c>
      <c r="AZ32" s="151">
        <f t="shared" si="27"/>
        <v>0</v>
      </c>
      <c r="BA32" s="160">
        <f t="shared" si="25"/>
        <v>14.19</v>
      </c>
      <c r="BB32" s="164"/>
      <c r="BD32" s="86" t="s">
        <v>106</v>
      </c>
      <c r="BE32" s="86" t="s">
        <v>263</v>
      </c>
      <c r="BF32" s="87" t="s">
        <v>264</v>
      </c>
      <c r="BG32" s="87">
        <v>387000650117</v>
      </c>
      <c r="BH32" s="86" t="s">
        <v>265</v>
      </c>
      <c r="BI32" s="86">
        <v>2222</v>
      </c>
      <c r="BJ32" s="86" t="s">
        <v>266</v>
      </c>
      <c r="BK32" s="86">
        <v>13312250</v>
      </c>
      <c r="BL32" s="86" t="s">
        <v>267</v>
      </c>
      <c r="BM32" s="86" t="s">
        <v>108</v>
      </c>
    </row>
    <row r="33" spans="1:65 16369:16369" s="106" customFormat="1" ht="14.25" customHeight="1" thickBot="1" x14ac:dyDescent="0.25">
      <c r="A33" s="89">
        <v>4.2000000000000003E-2</v>
      </c>
      <c r="B33" s="27">
        <f>VLOOKUP(F33,Planilha3!D:F,3,0)</f>
        <v>12.8718384739042</v>
      </c>
      <c r="C33" s="90">
        <f t="shared" si="20"/>
        <v>306.47234461676663</v>
      </c>
      <c r="D33" s="90" t="s">
        <v>76</v>
      </c>
      <c r="E33" s="90" t="s">
        <v>80</v>
      </c>
      <c r="F33" s="107">
        <v>904743</v>
      </c>
      <c r="G33" s="107">
        <v>1170232</v>
      </c>
      <c r="H33" s="92" t="s">
        <v>22</v>
      </c>
      <c r="I33" s="93">
        <v>12</v>
      </c>
      <c r="J33" s="93">
        <v>280</v>
      </c>
      <c r="K33" s="94">
        <f t="shared" si="32"/>
        <v>6720</v>
      </c>
      <c r="L33" s="170">
        <v>3920</v>
      </c>
      <c r="M33" s="180">
        <f t="shared" si="1"/>
        <v>14</v>
      </c>
      <c r="N33" s="95">
        <f t="shared" si="33"/>
        <v>0.58333333333333337</v>
      </c>
      <c r="O33" s="148">
        <v>57.73</v>
      </c>
      <c r="P33" s="135">
        <f t="shared" si="21"/>
        <v>4.8108333333333331</v>
      </c>
      <c r="Q33" s="108">
        <f t="shared" si="3"/>
        <v>3</v>
      </c>
      <c r="R33" s="108">
        <v>0.25</v>
      </c>
      <c r="S33" s="122">
        <f t="shared" si="4"/>
        <v>0.72</v>
      </c>
      <c r="T33" s="122">
        <v>0.06</v>
      </c>
      <c r="U33" s="121">
        <f t="shared" si="22"/>
        <v>0.31</v>
      </c>
      <c r="V33" s="121">
        <v>0.31</v>
      </c>
      <c r="W33" s="36">
        <f>VLOOKUP(F33,'[1]Proposta HNK para Tenda'!$F:$T,15,0)</f>
        <v>6.09</v>
      </c>
      <c r="X33" s="36">
        <f>VLOOKUP(F33,'[1]Proposta HNK para Tenda'!$F:$U,16,0)</f>
        <v>5.3900000000000006</v>
      </c>
      <c r="Y33" s="36"/>
      <c r="Z33" s="98">
        <f t="shared" si="5"/>
        <v>14582.4</v>
      </c>
      <c r="AA33" s="99">
        <f t="shared" si="6"/>
        <v>226301.59999999998</v>
      </c>
      <c r="AB33" s="100">
        <f>L33*12*0.35/100</f>
        <v>164.64</v>
      </c>
      <c r="AC33" s="101"/>
      <c r="AD33" s="44">
        <f t="shared" si="7"/>
        <v>0.31429999999999997</v>
      </c>
      <c r="AE33" s="102">
        <f t="shared" si="8"/>
        <v>0.31</v>
      </c>
      <c r="AF33" s="102">
        <f t="shared" si="23"/>
        <v>4.2999999999999705E-3</v>
      </c>
      <c r="AH33" s="175">
        <v>89.8</v>
      </c>
      <c r="AI33" s="176">
        <f t="shared" si="9"/>
        <v>14784.671999999999</v>
      </c>
      <c r="AJ33" s="176">
        <f t="shared" si="10"/>
        <v>0.31429999999999997</v>
      </c>
      <c r="AK33" s="103"/>
      <c r="AL33" s="103">
        <f t="shared" si="11"/>
        <v>0</v>
      </c>
      <c r="AM33" s="103">
        <f t="shared" si="12"/>
        <v>0</v>
      </c>
      <c r="AN33" s="7">
        <v>0</v>
      </c>
      <c r="AO33" s="138">
        <f t="shared" si="13"/>
        <v>0</v>
      </c>
      <c r="AP33" s="138">
        <f t="shared" si="14"/>
        <v>0</v>
      </c>
      <c r="AQ33" s="103">
        <f t="shared" si="15"/>
        <v>14784.671999999999</v>
      </c>
      <c r="AR33" s="103">
        <f t="shared" si="15"/>
        <v>0.31429999999999997</v>
      </c>
      <c r="AS33" s="104">
        <f t="shared" si="16"/>
        <v>14582.4</v>
      </c>
      <c r="AT33" s="104">
        <f t="shared" si="24"/>
        <v>202.27199999999903</v>
      </c>
      <c r="AU33" s="103">
        <f t="shared" si="17"/>
        <v>4.8108333333333331</v>
      </c>
      <c r="AV33" s="104">
        <f t="shared" si="18"/>
        <v>4.5008333333333335</v>
      </c>
      <c r="AW33" s="105">
        <f t="shared" si="19"/>
        <v>0.1649659863945579</v>
      </c>
      <c r="AY33" s="150">
        <f t="shared" si="29"/>
        <v>5.3900000000000006</v>
      </c>
      <c r="AZ33" s="151">
        <f t="shared" si="27"/>
        <v>0</v>
      </c>
      <c r="BA33" s="160">
        <f t="shared" si="25"/>
        <v>5.3900000000000006</v>
      </c>
      <c r="BB33" s="164"/>
      <c r="BD33" s="86" t="s">
        <v>106</v>
      </c>
      <c r="BE33" s="86" t="s">
        <v>263</v>
      </c>
      <c r="BF33" s="87" t="s">
        <v>264</v>
      </c>
      <c r="BG33" s="87">
        <v>387000650117</v>
      </c>
      <c r="BH33" s="86" t="s">
        <v>265</v>
      </c>
      <c r="BI33" s="86">
        <v>2222</v>
      </c>
      <c r="BJ33" s="86" t="s">
        <v>266</v>
      </c>
      <c r="BK33" s="86">
        <v>13312250</v>
      </c>
      <c r="BL33" s="86" t="s">
        <v>267</v>
      </c>
      <c r="BM33" s="86" t="s">
        <v>108</v>
      </c>
    </row>
    <row r="34" spans="1:65 16369:16369" s="106" customFormat="1" ht="14.25" customHeight="1" thickBot="1" x14ac:dyDescent="0.25">
      <c r="A34" s="89">
        <v>7.1999999999999995E-2</v>
      </c>
      <c r="B34" s="27">
        <f>VLOOKUP(F34,Planilha3!D:F,3,0)</f>
        <v>5.1478174848522329</v>
      </c>
      <c r="C34" s="90">
        <f t="shared" si="20"/>
        <v>71.497465067392127</v>
      </c>
      <c r="D34" s="90" t="s">
        <v>76</v>
      </c>
      <c r="E34" s="90" t="s">
        <v>80</v>
      </c>
      <c r="F34" s="91">
        <v>900109</v>
      </c>
      <c r="G34" s="91">
        <v>1017027</v>
      </c>
      <c r="H34" s="92" t="s">
        <v>27</v>
      </c>
      <c r="I34" s="93">
        <v>12</v>
      </c>
      <c r="J34" s="93">
        <v>60</v>
      </c>
      <c r="K34" s="94">
        <f t="shared" si="32"/>
        <v>1440</v>
      </c>
      <c r="L34" s="170">
        <v>240</v>
      </c>
      <c r="M34" s="180">
        <f t="shared" si="1"/>
        <v>4</v>
      </c>
      <c r="N34" s="95">
        <f t="shared" si="33"/>
        <v>0.16666666666666666</v>
      </c>
      <c r="O34" s="148">
        <v>134.52000000000001</v>
      </c>
      <c r="P34" s="135">
        <f t="shared" si="21"/>
        <v>11.21</v>
      </c>
      <c r="Q34" s="96">
        <f t="shared" si="3"/>
        <v>0</v>
      </c>
      <c r="R34" s="96">
        <v>0</v>
      </c>
      <c r="S34" s="97">
        <f t="shared" si="4"/>
        <v>0</v>
      </c>
      <c r="T34" s="97">
        <v>0</v>
      </c>
      <c r="U34" s="121">
        <f t="shared" si="22"/>
        <v>0</v>
      </c>
      <c r="V34" s="121">
        <v>0</v>
      </c>
      <c r="W34" s="36">
        <f>VLOOKUP(F34,'[1]Proposta HNK para Tenda'!$F:$T,15,0)</f>
        <v>14.19</v>
      </c>
      <c r="X34" s="36">
        <f>VLOOKUP(F34,'[1]Proposta HNK para Tenda'!$F:$U,16,0)</f>
        <v>14.19</v>
      </c>
      <c r="Y34" s="36"/>
      <c r="Z34" s="98">
        <f t="shared" si="5"/>
        <v>0</v>
      </c>
      <c r="AA34" s="99">
        <f t="shared" si="6"/>
        <v>32284.800000000003</v>
      </c>
      <c r="AB34" s="100">
        <f>L34*12*0.6/100</f>
        <v>17.28</v>
      </c>
      <c r="AC34" s="101"/>
      <c r="AD34" s="44">
        <f t="shared" si="7"/>
        <v>0</v>
      </c>
      <c r="AE34" s="102">
        <f t="shared" si="8"/>
        <v>0</v>
      </c>
      <c r="AF34" s="102">
        <f t="shared" si="23"/>
        <v>0</v>
      </c>
      <c r="AH34" s="137">
        <v>0</v>
      </c>
      <c r="AI34" s="138">
        <f t="shared" si="9"/>
        <v>0</v>
      </c>
      <c r="AJ34" s="138">
        <f t="shared" si="10"/>
        <v>0</v>
      </c>
      <c r="AK34" s="103"/>
      <c r="AL34" s="103">
        <f t="shared" si="11"/>
        <v>0</v>
      </c>
      <c r="AM34" s="103">
        <f t="shared" si="12"/>
        <v>0</v>
      </c>
      <c r="AN34" s="7">
        <v>0</v>
      </c>
      <c r="AO34" s="138">
        <f t="shared" si="13"/>
        <v>0</v>
      </c>
      <c r="AP34" s="138">
        <f t="shared" si="14"/>
        <v>0</v>
      </c>
      <c r="AQ34" s="103">
        <f t="shared" si="15"/>
        <v>0</v>
      </c>
      <c r="AR34" s="103">
        <f t="shared" si="15"/>
        <v>0</v>
      </c>
      <c r="AS34" s="104">
        <f t="shared" si="16"/>
        <v>0</v>
      </c>
      <c r="AT34" s="104">
        <f t="shared" si="24"/>
        <v>0</v>
      </c>
      <c r="AU34" s="103">
        <f t="shared" si="17"/>
        <v>11.21</v>
      </c>
      <c r="AV34" s="104">
        <f t="shared" si="18"/>
        <v>11.21</v>
      </c>
      <c r="AW34" s="105">
        <f t="shared" si="19"/>
        <v>0.21000704721634944</v>
      </c>
      <c r="AY34" s="150">
        <f t="shared" si="29"/>
        <v>14.19</v>
      </c>
      <c r="AZ34" s="151">
        <f t="shared" si="27"/>
        <v>0</v>
      </c>
      <c r="BA34" s="160">
        <f t="shared" si="25"/>
        <v>14.19</v>
      </c>
      <c r="BB34" s="164"/>
      <c r="BD34" s="86" t="s">
        <v>106</v>
      </c>
      <c r="BE34" s="86" t="s">
        <v>263</v>
      </c>
      <c r="BF34" s="87" t="s">
        <v>264</v>
      </c>
      <c r="BG34" s="87">
        <v>387000650117</v>
      </c>
      <c r="BH34" s="86" t="s">
        <v>265</v>
      </c>
      <c r="BI34" s="86">
        <v>2222</v>
      </c>
      <c r="BJ34" s="86" t="s">
        <v>266</v>
      </c>
      <c r="BK34" s="86">
        <v>13312250</v>
      </c>
      <c r="BL34" s="86" t="s">
        <v>267</v>
      </c>
      <c r="BM34" s="86" t="s">
        <v>108</v>
      </c>
    </row>
    <row r="35" spans="1:65 16369:16369" s="106" customFormat="1" ht="14.25" customHeight="1" thickBot="1" x14ac:dyDescent="0.25">
      <c r="A35" s="89">
        <v>4.2000000000000003E-2</v>
      </c>
      <c r="B35" s="27">
        <f>VLOOKUP(F35,Planilha3!D:F,3,0)</f>
        <v>8.3101108017361387</v>
      </c>
      <c r="C35" s="90">
        <f t="shared" si="20"/>
        <v>197.85978099371758</v>
      </c>
      <c r="D35" s="90" t="s">
        <v>76</v>
      </c>
      <c r="E35" s="90" t="s">
        <v>80</v>
      </c>
      <c r="F35" s="93">
        <v>904441</v>
      </c>
      <c r="G35" s="93">
        <v>1147975</v>
      </c>
      <c r="H35" s="92" t="s">
        <v>24</v>
      </c>
      <c r="I35" s="93">
        <v>12</v>
      </c>
      <c r="J35" s="93">
        <v>280</v>
      </c>
      <c r="K35" s="94">
        <f t="shared" si="32"/>
        <v>6720</v>
      </c>
      <c r="L35" s="125">
        <v>6720</v>
      </c>
      <c r="M35" s="180">
        <f t="shared" si="1"/>
        <v>24</v>
      </c>
      <c r="N35" s="95">
        <f t="shared" si="33"/>
        <v>1</v>
      </c>
      <c r="O35" s="148">
        <v>57.73</v>
      </c>
      <c r="P35" s="135">
        <f t="shared" si="21"/>
        <v>4.8108333333333331</v>
      </c>
      <c r="Q35" s="108">
        <f t="shared" si="3"/>
        <v>3</v>
      </c>
      <c r="R35" s="108">
        <v>0.25</v>
      </c>
      <c r="S35" s="122">
        <f t="shared" si="4"/>
        <v>0.72</v>
      </c>
      <c r="T35" s="122">
        <v>0.06</v>
      </c>
      <c r="U35" s="121">
        <f t="shared" si="22"/>
        <v>0.31</v>
      </c>
      <c r="V35" s="121">
        <v>0.31</v>
      </c>
      <c r="W35" s="36">
        <f>VLOOKUP(F35,'[1]Proposta HNK para Tenda'!$F:$T,15,0)</f>
        <v>6.09</v>
      </c>
      <c r="X35" s="36">
        <f>VLOOKUP(F35,'[1]Proposta HNK para Tenda'!$F:$U,16,0)</f>
        <v>5.3900000000000006</v>
      </c>
      <c r="Y35" s="36"/>
      <c r="Z35" s="98">
        <f t="shared" si="5"/>
        <v>24998.399999999998</v>
      </c>
      <c r="AA35" s="99">
        <f t="shared" si="6"/>
        <v>387945.6</v>
      </c>
      <c r="AB35" s="100">
        <f>L35*12*0.35/100</f>
        <v>282.24</v>
      </c>
      <c r="AC35" s="101"/>
      <c r="AD35" s="44">
        <f t="shared" si="7"/>
        <v>0.31429999999999997</v>
      </c>
      <c r="AE35" s="102">
        <f t="shared" si="8"/>
        <v>0.31</v>
      </c>
      <c r="AF35" s="102">
        <f t="shared" si="23"/>
        <v>4.2999999999999705E-3</v>
      </c>
      <c r="AH35" s="175">
        <v>89.8</v>
      </c>
      <c r="AI35" s="176">
        <f t="shared" si="9"/>
        <v>25345.151999999998</v>
      </c>
      <c r="AJ35" s="176">
        <f t="shared" si="10"/>
        <v>0.31429999999999997</v>
      </c>
      <c r="AK35" s="103"/>
      <c r="AL35" s="103">
        <f t="shared" si="11"/>
        <v>0</v>
      </c>
      <c r="AM35" s="103">
        <f t="shared" si="12"/>
        <v>0</v>
      </c>
      <c r="AN35" s="7">
        <v>0</v>
      </c>
      <c r="AO35" s="138">
        <f t="shared" si="13"/>
        <v>0</v>
      </c>
      <c r="AP35" s="138">
        <f t="shared" si="14"/>
        <v>0</v>
      </c>
      <c r="AQ35" s="103">
        <f t="shared" si="15"/>
        <v>25345.151999999998</v>
      </c>
      <c r="AR35" s="103">
        <f t="shared" si="15"/>
        <v>0.31429999999999997</v>
      </c>
      <c r="AS35" s="104">
        <f t="shared" si="16"/>
        <v>24998.399999999998</v>
      </c>
      <c r="AT35" s="104">
        <f t="shared" si="24"/>
        <v>346.75200000000041</v>
      </c>
      <c r="AU35" s="103">
        <f t="shared" si="17"/>
        <v>4.8108333333333331</v>
      </c>
      <c r="AV35" s="104">
        <f t="shared" si="18"/>
        <v>4.5008333333333335</v>
      </c>
      <c r="AW35" s="105">
        <f t="shared" si="19"/>
        <v>0.1649659863945579</v>
      </c>
      <c r="AY35" s="150">
        <f t="shared" si="29"/>
        <v>5.3900000000000006</v>
      </c>
      <c r="AZ35" s="151">
        <f t="shared" si="27"/>
        <v>0</v>
      </c>
      <c r="BA35" s="160">
        <f t="shared" si="25"/>
        <v>5.3900000000000006</v>
      </c>
      <c r="BB35" s="164"/>
      <c r="BD35" s="86" t="s">
        <v>106</v>
      </c>
      <c r="BE35" s="86" t="s">
        <v>263</v>
      </c>
      <c r="BF35" s="87" t="s">
        <v>264</v>
      </c>
      <c r="BG35" s="87">
        <v>387000650117</v>
      </c>
      <c r="BH35" s="86" t="s">
        <v>265</v>
      </c>
      <c r="BI35" s="86">
        <v>2222</v>
      </c>
      <c r="BJ35" s="86" t="s">
        <v>266</v>
      </c>
      <c r="BK35" s="86">
        <v>13312250</v>
      </c>
      <c r="BL35" s="86" t="s">
        <v>267</v>
      </c>
      <c r="BM35" s="86" t="s">
        <v>108</v>
      </c>
    </row>
    <row r="36" spans="1:65 16369:16369" s="106" customFormat="1" ht="14.25" customHeight="1" thickBot="1" x14ac:dyDescent="0.25">
      <c r="A36" s="89">
        <v>7.1999999999999995E-2</v>
      </c>
      <c r="B36" s="27">
        <f>VLOOKUP(F36,Planilha3!D:F,3,0)</f>
        <v>6.1719832816502631</v>
      </c>
      <c r="C36" s="90">
        <f t="shared" si="20"/>
        <v>85.721990022920323</v>
      </c>
      <c r="D36" s="90" t="s">
        <v>76</v>
      </c>
      <c r="E36" s="90" t="s">
        <v>80</v>
      </c>
      <c r="F36" s="93">
        <v>901162</v>
      </c>
      <c r="G36" s="93">
        <v>1046689</v>
      </c>
      <c r="H36" s="92" t="s">
        <v>25</v>
      </c>
      <c r="I36" s="93">
        <v>12</v>
      </c>
      <c r="J36" s="93">
        <v>60</v>
      </c>
      <c r="K36" s="94">
        <f t="shared" si="32"/>
        <v>1440</v>
      </c>
      <c r="L36" s="170">
        <v>120</v>
      </c>
      <c r="M36" s="180">
        <f t="shared" si="1"/>
        <v>2</v>
      </c>
      <c r="N36" s="95">
        <f t="shared" si="33"/>
        <v>8.3333333333333329E-2</v>
      </c>
      <c r="O36" s="148">
        <v>134.52000000000001</v>
      </c>
      <c r="P36" s="135">
        <f t="shared" si="21"/>
        <v>11.21</v>
      </c>
      <c r="Q36" s="96">
        <f t="shared" si="3"/>
        <v>0</v>
      </c>
      <c r="R36" s="96">
        <v>0</v>
      </c>
      <c r="S36" s="97">
        <f t="shared" si="4"/>
        <v>0</v>
      </c>
      <c r="T36" s="97">
        <v>0</v>
      </c>
      <c r="U36" s="121">
        <f t="shared" si="22"/>
        <v>0</v>
      </c>
      <c r="V36" s="121">
        <v>0</v>
      </c>
      <c r="W36" s="36">
        <f>VLOOKUP(F36,'[1]Proposta HNK para Tenda'!$F:$T,15,0)</f>
        <v>14.19</v>
      </c>
      <c r="X36" s="36">
        <f>VLOOKUP(F36,'[1]Proposta HNK para Tenda'!$F:$U,16,0)</f>
        <v>14.19</v>
      </c>
      <c r="Y36" s="36"/>
      <c r="Z36" s="98">
        <f t="shared" si="5"/>
        <v>0</v>
      </c>
      <c r="AA36" s="99">
        <f t="shared" si="6"/>
        <v>16142.400000000001</v>
      </c>
      <c r="AB36" s="100">
        <f>L36*12*0.6/100</f>
        <v>8.64</v>
      </c>
      <c r="AC36" s="101"/>
      <c r="AD36" s="44">
        <f t="shared" si="7"/>
        <v>0</v>
      </c>
      <c r="AE36" s="102">
        <f t="shared" si="8"/>
        <v>0</v>
      </c>
      <c r="AF36" s="102">
        <f t="shared" si="23"/>
        <v>0</v>
      </c>
      <c r="AH36" s="137">
        <v>0</v>
      </c>
      <c r="AI36" s="138">
        <f t="shared" si="9"/>
        <v>0</v>
      </c>
      <c r="AJ36" s="138">
        <f t="shared" si="10"/>
        <v>0</v>
      </c>
      <c r="AK36" s="103"/>
      <c r="AL36" s="103">
        <f t="shared" si="11"/>
        <v>0</v>
      </c>
      <c r="AM36" s="103">
        <f t="shared" si="12"/>
        <v>0</v>
      </c>
      <c r="AN36" s="7">
        <v>0</v>
      </c>
      <c r="AO36" s="138">
        <f t="shared" si="13"/>
        <v>0</v>
      </c>
      <c r="AP36" s="138">
        <f t="shared" si="14"/>
        <v>0</v>
      </c>
      <c r="AQ36" s="103">
        <f t="shared" si="15"/>
        <v>0</v>
      </c>
      <c r="AR36" s="103">
        <f t="shared" si="15"/>
        <v>0</v>
      </c>
      <c r="AS36" s="104">
        <f t="shared" si="16"/>
        <v>0</v>
      </c>
      <c r="AT36" s="104">
        <f t="shared" si="24"/>
        <v>0</v>
      </c>
      <c r="AU36" s="103">
        <f t="shared" si="17"/>
        <v>11.21</v>
      </c>
      <c r="AV36" s="104">
        <f t="shared" si="18"/>
        <v>11.21</v>
      </c>
      <c r="AW36" s="105">
        <f t="shared" si="19"/>
        <v>0.21000704721634944</v>
      </c>
      <c r="AY36" s="150">
        <f t="shared" si="29"/>
        <v>14.19</v>
      </c>
      <c r="AZ36" s="151">
        <f t="shared" si="27"/>
        <v>0</v>
      </c>
      <c r="BA36" s="160">
        <f t="shared" si="25"/>
        <v>14.19</v>
      </c>
      <c r="BB36" s="164"/>
      <c r="BD36" s="86" t="s">
        <v>106</v>
      </c>
      <c r="BE36" s="86" t="s">
        <v>263</v>
      </c>
      <c r="BF36" s="87" t="s">
        <v>264</v>
      </c>
      <c r="BG36" s="87">
        <v>387000650117</v>
      </c>
      <c r="BH36" s="86" t="s">
        <v>265</v>
      </c>
      <c r="BI36" s="86">
        <v>2222</v>
      </c>
      <c r="BJ36" s="86" t="s">
        <v>266</v>
      </c>
      <c r="BK36" s="86">
        <v>13312250</v>
      </c>
      <c r="BL36" s="86" t="s">
        <v>267</v>
      </c>
      <c r="BM36" s="86" t="s">
        <v>108</v>
      </c>
    </row>
    <row r="37" spans="1:65 16369:16369" s="106" customFormat="1" ht="14.25" customHeight="1" thickBot="1" x14ac:dyDescent="0.25">
      <c r="A37" s="89">
        <v>4.2000000000000003E-2</v>
      </c>
      <c r="B37" s="27">
        <f>VLOOKUP(F37,Planilha3!D:F,3,0)</f>
        <v>21.928825538868569</v>
      </c>
      <c r="C37" s="90">
        <f t="shared" si="20"/>
        <v>522.114893782585</v>
      </c>
      <c r="D37" s="90" t="s">
        <v>76</v>
      </c>
      <c r="E37" s="90" t="s">
        <v>80</v>
      </c>
      <c r="F37" s="107">
        <v>904193</v>
      </c>
      <c r="G37" s="107">
        <v>1150647</v>
      </c>
      <c r="H37" s="92" t="s">
        <v>21</v>
      </c>
      <c r="I37" s="93">
        <v>12</v>
      </c>
      <c r="J37" s="93">
        <v>280</v>
      </c>
      <c r="K37" s="94">
        <f t="shared" si="32"/>
        <v>6720</v>
      </c>
      <c r="L37" s="125">
        <v>6720</v>
      </c>
      <c r="M37" s="180">
        <f t="shared" si="1"/>
        <v>24</v>
      </c>
      <c r="N37" s="95">
        <f t="shared" si="33"/>
        <v>1</v>
      </c>
      <c r="O37" s="148">
        <v>57.73</v>
      </c>
      <c r="P37" s="135">
        <f t="shared" si="21"/>
        <v>4.8108333333333331</v>
      </c>
      <c r="Q37" s="108">
        <f t="shared" si="3"/>
        <v>3</v>
      </c>
      <c r="R37" s="108">
        <v>0.25</v>
      </c>
      <c r="S37" s="122">
        <f t="shared" si="4"/>
        <v>0.72</v>
      </c>
      <c r="T37" s="122">
        <v>0.06</v>
      </c>
      <c r="U37" s="121">
        <f t="shared" si="22"/>
        <v>0.31</v>
      </c>
      <c r="V37" s="121">
        <v>0.31</v>
      </c>
      <c r="W37" s="36">
        <f>VLOOKUP(F37,'[1]Proposta HNK para Tenda'!$F:$T,15,0)</f>
        <v>6.09</v>
      </c>
      <c r="X37" s="36">
        <f>VLOOKUP(F37,'[1]Proposta HNK para Tenda'!$F:$U,16,0)</f>
        <v>5.3900000000000006</v>
      </c>
      <c r="Y37" s="36"/>
      <c r="Z37" s="98">
        <f t="shared" si="5"/>
        <v>24998.399999999998</v>
      </c>
      <c r="AA37" s="99">
        <f t="shared" si="6"/>
        <v>387945.6</v>
      </c>
      <c r="AB37" s="100">
        <f>L37*12*0.35/100</f>
        <v>282.24</v>
      </c>
      <c r="AC37" s="101"/>
      <c r="AD37" s="44">
        <f t="shared" si="7"/>
        <v>0.31429999999999997</v>
      </c>
      <c r="AE37" s="102">
        <f t="shared" si="8"/>
        <v>0.31</v>
      </c>
      <c r="AF37" s="102">
        <f t="shared" si="23"/>
        <v>4.2999999999999705E-3</v>
      </c>
      <c r="AH37" s="175">
        <v>89.8</v>
      </c>
      <c r="AI37" s="176">
        <f t="shared" si="9"/>
        <v>25345.151999999998</v>
      </c>
      <c r="AJ37" s="176">
        <f t="shared" si="10"/>
        <v>0.31429999999999997</v>
      </c>
      <c r="AK37" s="103"/>
      <c r="AL37" s="103">
        <f t="shared" si="11"/>
        <v>0</v>
      </c>
      <c r="AM37" s="103">
        <f t="shared" si="12"/>
        <v>0</v>
      </c>
      <c r="AN37" s="7">
        <v>0</v>
      </c>
      <c r="AO37" s="138">
        <f t="shared" si="13"/>
        <v>0</v>
      </c>
      <c r="AP37" s="138">
        <f t="shared" si="14"/>
        <v>0</v>
      </c>
      <c r="AQ37" s="103">
        <f t="shared" si="15"/>
        <v>25345.151999999998</v>
      </c>
      <c r="AR37" s="103">
        <f t="shared" si="15"/>
        <v>0.31429999999999997</v>
      </c>
      <c r="AS37" s="104">
        <f t="shared" si="16"/>
        <v>24998.399999999998</v>
      </c>
      <c r="AT37" s="104">
        <f t="shared" si="24"/>
        <v>346.75200000000041</v>
      </c>
      <c r="AU37" s="103">
        <f t="shared" si="17"/>
        <v>4.8108333333333331</v>
      </c>
      <c r="AV37" s="104">
        <f t="shared" si="18"/>
        <v>4.5008333333333335</v>
      </c>
      <c r="AW37" s="105">
        <f t="shared" si="19"/>
        <v>0.1649659863945579</v>
      </c>
      <c r="AY37" s="150">
        <f t="shared" si="29"/>
        <v>5.3900000000000006</v>
      </c>
      <c r="AZ37" s="151">
        <f t="shared" si="27"/>
        <v>0</v>
      </c>
      <c r="BA37" s="160">
        <f t="shared" si="25"/>
        <v>5.3900000000000006</v>
      </c>
      <c r="BB37" s="164"/>
      <c r="BD37" s="86" t="s">
        <v>106</v>
      </c>
      <c r="BE37" s="86" t="s">
        <v>263</v>
      </c>
      <c r="BF37" s="87" t="s">
        <v>264</v>
      </c>
      <c r="BG37" s="87">
        <v>387000650117</v>
      </c>
      <c r="BH37" s="86" t="s">
        <v>265</v>
      </c>
      <c r="BI37" s="86">
        <v>2222</v>
      </c>
      <c r="BJ37" s="86" t="s">
        <v>266</v>
      </c>
      <c r="BK37" s="86">
        <v>13312250</v>
      </c>
      <c r="BL37" s="86" t="s">
        <v>267</v>
      </c>
      <c r="BM37" s="86" t="s">
        <v>108</v>
      </c>
    </row>
    <row r="38" spans="1:65 16369:16369" s="106" customFormat="1" ht="14.25" customHeight="1" thickBot="1" x14ac:dyDescent="0.25">
      <c r="A38" s="89">
        <v>4.2000000000000003E-2</v>
      </c>
      <c r="B38" s="27">
        <f>VLOOKUP(F38,Planilha3!D:F,3,0)</f>
        <v>12.387493325971475</v>
      </c>
      <c r="C38" s="90">
        <f t="shared" si="20"/>
        <v>294.94031728503512</v>
      </c>
      <c r="D38" s="90" t="s">
        <v>76</v>
      </c>
      <c r="E38" s="90" t="s">
        <v>81</v>
      </c>
      <c r="F38" s="107">
        <v>904612</v>
      </c>
      <c r="G38" s="107">
        <v>1155188</v>
      </c>
      <c r="H38" s="92" t="s">
        <v>20</v>
      </c>
      <c r="I38" s="93">
        <v>12</v>
      </c>
      <c r="J38" s="93">
        <v>280</v>
      </c>
      <c r="K38" s="94">
        <f t="shared" si="32"/>
        <v>6720</v>
      </c>
      <c r="L38" s="125">
        <v>560</v>
      </c>
      <c r="M38" s="180">
        <f>L38/J38</f>
        <v>2</v>
      </c>
      <c r="N38" s="95">
        <f>L38/K38</f>
        <v>8.3333333333333329E-2</v>
      </c>
      <c r="O38" s="148">
        <v>85.23</v>
      </c>
      <c r="P38" s="135">
        <f t="shared" si="21"/>
        <v>7.1025</v>
      </c>
      <c r="Q38" s="108">
        <f t="shared" si="3"/>
        <v>10.8</v>
      </c>
      <c r="R38" s="108">
        <v>0.9</v>
      </c>
      <c r="S38" s="122">
        <f t="shared" si="4"/>
        <v>0.24</v>
      </c>
      <c r="T38" s="122">
        <v>0.02</v>
      </c>
      <c r="U38" s="121">
        <f t="shared" si="22"/>
        <v>0.92</v>
      </c>
      <c r="V38" s="121">
        <v>0.92</v>
      </c>
      <c r="W38" s="36">
        <f>VLOOKUP(F38,'[1]Proposta HNK para Tenda'!$F:$T,15,0)</f>
        <v>8.99</v>
      </c>
      <c r="X38" s="36">
        <f>VLOOKUP(F38,'[1]Proposta HNK para Tenda'!$F:$U,16,0)</f>
        <v>6.99</v>
      </c>
      <c r="Y38" s="36"/>
      <c r="Z38" s="98">
        <f t="shared" si="5"/>
        <v>6182.4000000000005</v>
      </c>
      <c r="AA38" s="99">
        <f t="shared" si="6"/>
        <v>47728.800000000003</v>
      </c>
      <c r="AB38" s="100">
        <f>L38*12*0.35/100</f>
        <v>23.52</v>
      </c>
      <c r="AC38" s="101"/>
      <c r="AD38" s="44">
        <f t="shared" si="7"/>
        <v>0.93051000000000006</v>
      </c>
      <c r="AE38" s="102">
        <f t="shared" si="8"/>
        <v>0.92</v>
      </c>
      <c r="AF38" s="102">
        <f t="shared" si="23"/>
        <v>1.0510000000000019E-2</v>
      </c>
      <c r="AH38" s="175">
        <v>265.86</v>
      </c>
      <c r="AI38" s="176">
        <f t="shared" si="9"/>
        <v>6253.0272000000004</v>
      </c>
      <c r="AJ38" s="176">
        <f t="shared" si="10"/>
        <v>0.93051000000000006</v>
      </c>
      <c r="AK38" s="103"/>
      <c r="AL38" s="103">
        <f t="shared" si="11"/>
        <v>0</v>
      </c>
      <c r="AM38" s="103">
        <f t="shared" si="12"/>
        <v>0</v>
      </c>
      <c r="AN38" s="7">
        <v>0</v>
      </c>
      <c r="AO38" s="138">
        <f t="shared" si="13"/>
        <v>0</v>
      </c>
      <c r="AP38" s="138">
        <f t="shared" si="14"/>
        <v>0</v>
      </c>
      <c r="AQ38" s="103">
        <f t="shared" si="15"/>
        <v>6253.0272000000004</v>
      </c>
      <c r="AR38" s="103">
        <f t="shared" si="15"/>
        <v>0.93051000000000006</v>
      </c>
      <c r="AS38" s="104">
        <f t="shared" si="16"/>
        <v>6182.4000000000005</v>
      </c>
      <c r="AT38" s="104">
        <f t="shared" si="24"/>
        <v>70.627199999999903</v>
      </c>
      <c r="AU38" s="103">
        <f t="shared" si="17"/>
        <v>7.1025</v>
      </c>
      <c r="AV38" s="104">
        <f t="shared" si="18"/>
        <v>6.1825000000000001</v>
      </c>
      <c r="AW38" s="105">
        <f t="shared" si="19"/>
        <v>0.11552217453505008</v>
      </c>
      <c r="AY38" s="150">
        <f t="shared" si="29"/>
        <v>6.99</v>
      </c>
      <c r="AZ38" s="151">
        <f t="shared" si="27"/>
        <v>0</v>
      </c>
      <c r="BA38" s="160">
        <f t="shared" si="25"/>
        <v>6.99</v>
      </c>
      <c r="BB38" s="164"/>
      <c r="BD38" s="86" t="s">
        <v>106</v>
      </c>
      <c r="BE38" s="86" t="s">
        <v>263</v>
      </c>
      <c r="BF38" s="87" t="s">
        <v>264</v>
      </c>
      <c r="BG38" s="87">
        <v>387000650117</v>
      </c>
      <c r="BH38" s="86" t="s">
        <v>265</v>
      </c>
      <c r="BI38" s="86">
        <v>2222</v>
      </c>
      <c r="BJ38" s="86" t="s">
        <v>266</v>
      </c>
      <c r="BK38" s="86">
        <v>13312250</v>
      </c>
      <c r="BL38" s="86" t="s">
        <v>267</v>
      </c>
      <c r="BM38" s="86" t="s">
        <v>108</v>
      </c>
    </row>
    <row r="39" spans="1:65 16369:16369" s="106" customFormat="1" ht="14.25" customHeight="1" thickBot="1" x14ac:dyDescent="0.25">
      <c r="A39" s="109">
        <v>8.5199999999999998E-2</v>
      </c>
      <c r="B39" s="27">
        <f>VLOOKUP(F39,Planilha3!D:F,3,0)</f>
        <v>5.0098310064648448</v>
      </c>
      <c r="C39" s="90">
        <f t="shared" si="20"/>
        <v>58.800833409211798</v>
      </c>
      <c r="D39" s="90" t="s">
        <v>76</v>
      </c>
      <c r="E39" s="90" t="s">
        <v>81</v>
      </c>
      <c r="F39" s="107">
        <v>904602</v>
      </c>
      <c r="G39" s="107">
        <v>1160869</v>
      </c>
      <c r="H39" s="92" t="s">
        <v>19</v>
      </c>
      <c r="I39" s="93">
        <v>24</v>
      </c>
      <c r="J39" s="93">
        <v>56</v>
      </c>
      <c r="K39" s="94">
        <f t="shared" si="32"/>
        <v>1344</v>
      </c>
      <c r="L39" s="170">
        <v>168</v>
      </c>
      <c r="M39" s="180">
        <f>L39/J39</f>
        <v>3</v>
      </c>
      <c r="N39" s="95">
        <f>L39/K39</f>
        <v>0.125</v>
      </c>
      <c r="O39" s="148">
        <v>208.37</v>
      </c>
      <c r="P39" s="135">
        <f t="shared" si="21"/>
        <v>8.6820833333333329</v>
      </c>
      <c r="Q39" s="96">
        <f t="shared" si="3"/>
        <v>0</v>
      </c>
      <c r="R39" s="96">
        <v>0</v>
      </c>
      <c r="S39" s="97">
        <f t="shared" si="4"/>
        <v>0</v>
      </c>
      <c r="T39" s="97">
        <v>0</v>
      </c>
      <c r="U39" s="121">
        <f t="shared" si="22"/>
        <v>0</v>
      </c>
      <c r="V39" s="121">
        <v>0</v>
      </c>
      <c r="W39" s="36">
        <f>VLOOKUP(F39,'[1]Proposta HNK para Tenda'!$F:$T,15,0)</f>
        <v>10.99</v>
      </c>
      <c r="X39" s="36">
        <f>VLOOKUP(F39,'[1]Proposta HNK para Tenda'!$F:$U,16,0)</f>
        <v>10.99</v>
      </c>
      <c r="Y39" s="36"/>
      <c r="Z39" s="98">
        <f t="shared" si="5"/>
        <v>0</v>
      </c>
      <c r="AA39" s="99">
        <f t="shared" si="6"/>
        <v>35006.160000000003</v>
      </c>
      <c r="AB39" s="100">
        <f>L39*24*0.355/100</f>
        <v>14.313599999999999</v>
      </c>
      <c r="AC39" s="101"/>
      <c r="AD39" s="44">
        <f t="shared" si="7"/>
        <v>0</v>
      </c>
      <c r="AE39" s="102">
        <f t="shared" si="8"/>
        <v>0</v>
      </c>
      <c r="AF39" s="102">
        <f t="shared" si="23"/>
        <v>0</v>
      </c>
      <c r="AH39" s="137">
        <v>0</v>
      </c>
      <c r="AI39" s="103">
        <f t="shared" si="9"/>
        <v>0</v>
      </c>
      <c r="AJ39" s="103">
        <f t="shared" si="10"/>
        <v>0</v>
      </c>
      <c r="AK39" s="103"/>
      <c r="AL39" s="103">
        <f t="shared" si="11"/>
        <v>0</v>
      </c>
      <c r="AM39" s="103">
        <f t="shared" si="12"/>
        <v>0</v>
      </c>
      <c r="AN39" s="7">
        <v>0</v>
      </c>
      <c r="AO39" s="138">
        <f t="shared" si="13"/>
        <v>0</v>
      </c>
      <c r="AP39" s="138">
        <f t="shared" si="14"/>
        <v>0</v>
      </c>
      <c r="AQ39" s="103">
        <f t="shared" si="15"/>
        <v>0</v>
      </c>
      <c r="AR39" s="103">
        <f t="shared" si="15"/>
        <v>0</v>
      </c>
      <c r="AS39" s="104">
        <f t="shared" si="16"/>
        <v>0</v>
      </c>
      <c r="AT39" s="104">
        <f t="shared" si="24"/>
        <v>0</v>
      </c>
      <c r="AU39" s="103">
        <f t="shared" si="17"/>
        <v>8.6820833333333329</v>
      </c>
      <c r="AV39" s="104">
        <f t="shared" si="18"/>
        <v>8.6820833333333329</v>
      </c>
      <c r="AW39" s="105">
        <f t="shared" si="19"/>
        <v>0.21000151653017901</v>
      </c>
      <c r="AY39" s="150">
        <f t="shared" si="29"/>
        <v>10.99</v>
      </c>
      <c r="AZ39" s="151">
        <f t="shared" si="27"/>
        <v>0</v>
      </c>
      <c r="BA39" s="160">
        <f t="shared" si="25"/>
        <v>10.99</v>
      </c>
      <c r="BB39" s="164"/>
      <c r="BD39" s="86" t="s">
        <v>106</v>
      </c>
      <c r="BE39" s="86" t="s">
        <v>263</v>
      </c>
      <c r="BF39" s="87" t="s">
        <v>264</v>
      </c>
      <c r="BG39" s="87">
        <v>387000650117</v>
      </c>
      <c r="BH39" s="86" t="s">
        <v>265</v>
      </c>
      <c r="BI39" s="86">
        <v>2222</v>
      </c>
      <c r="BJ39" s="86" t="s">
        <v>266</v>
      </c>
      <c r="BK39" s="86">
        <v>13312250</v>
      </c>
      <c r="BL39" s="86" t="s">
        <v>267</v>
      </c>
      <c r="BM39" s="86" t="s">
        <v>108</v>
      </c>
    </row>
    <row r="40" spans="1:65 16369:16369" s="106" customFormat="1" ht="14.25" customHeight="1" thickBot="1" x14ac:dyDescent="0.25">
      <c r="A40" s="89">
        <v>4.2000000000000003E-2</v>
      </c>
      <c r="B40" s="27">
        <f>VLOOKUP(F40,Planilha3!D:F,3,0)</f>
        <v>17.452561060258553</v>
      </c>
      <c r="C40" s="90">
        <f t="shared" si="20"/>
        <v>415.53716810139412</v>
      </c>
      <c r="D40" s="90" t="s">
        <v>76</v>
      </c>
      <c r="E40" s="90" t="s">
        <v>79</v>
      </c>
      <c r="F40" s="107">
        <v>903681</v>
      </c>
      <c r="G40" s="107">
        <v>1110090</v>
      </c>
      <c r="H40" s="92" t="s">
        <v>18</v>
      </c>
      <c r="I40" s="93">
        <v>12</v>
      </c>
      <c r="J40" s="93">
        <v>280</v>
      </c>
      <c r="K40" s="94">
        <f>J40*24</f>
        <v>6720</v>
      </c>
      <c r="L40" s="125">
        <v>3920</v>
      </c>
      <c r="M40" s="180">
        <f t="shared" si="1"/>
        <v>14</v>
      </c>
      <c r="N40" s="95">
        <f t="shared" si="33"/>
        <v>0.58333333333333337</v>
      </c>
      <c r="O40" s="148">
        <v>53.94</v>
      </c>
      <c r="P40" s="135">
        <f t="shared" si="21"/>
        <v>4.4950000000000001</v>
      </c>
      <c r="Q40" s="108">
        <f t="shared" si="3"/>
        <v>3.24</v>
      </c>
      <c r="R40" s="108">
        <v>0.27</v>
      </c>
      <c r="S40" s="122">
        <f t="shared" si="4"/>
        <v>0</v>
      </c>
      <c r="T40" s="122">
        <v>0</v>
      </c>
      <c r="U40" s="121">
        <f t="shared" si="22"/>
        <v>0.27</v>
      </c>
      <c r="V40" s="121">
        <v>0.27</v>
      </c>
      <c r="W40" s="36">
        <v>5.69</v>
      </c>
      <c r="X40" s="36">
        <v>5.0900000000000007</v>
      </c>
      <c r="Y40" s="36"/>
      <c r="Z40" s="98">
        <f t="shared" si="5"/>
        <v>12700.800000000001</v>
      </c>
      <c r="AA40" s="99">
        <f t="shared" si="6"/>
        <v>211444.8</v>
      </c>
      <c r="AB40" s="100">
        <f>L40*12*0.35/100</f>
        <v>164.64</v>
      </c>
      <c r="AC40" s="101"/>
      <c r="AD40" s="44">
        <f t="shared" si="7"/>
        <v>0.26690999999999998</v>
      </c>
      <c r="AE40" s="102">
        <f t="shared" si="8"/>
        <v>0.27</v>
      </c>
      <c r="AF40" s="102">
        <f t="shared" si="23"/>
        <v>-3.0900000000000372E-3</v>
      </c>
      <c r="AH40" s="175">
        <v>76.260000000000005</v>
      </c>
      <c r="AI40" s="176">
        <f t="shared" si="9"/>
        <v>12555.446399999999</v>
      </c>
      <c r="AJ40" s="176">
        <f t="shared" si="10"/>
        <v>0.26690999999999998</v>
      </c>
      <c r="AK40" s="103"/>
      <c r="AL40" s="103">
        <f t="shared" si="11"/>
        <v>0</v>
      </c>
      <c r="AM40" s="103">
        <f t="shared" si="12"/>
        <v>0</v>
      </c>
      <c r="AN40" s="7">
        <v>0</v>
      </c>
      <c r="AO40" s="138">
        <f t="shared" si="13"/>
        <v>0</v>
      </c>
      <c r="AP40" s="138">
        <f t="shared" si="14"/>
        <v>0</v>
      </c>
      <c r="AQ40" s="103">
        <f t="shared" si="15"/>
        <v>12555.446399999999</v>
      </c>
      <c r="AR40" s="103">
        <f t="shared" si="15"/>
        <v>0.26690999999999998</v>
      </c>
      <c r="AS40" s="104">
        <f t="shared" si="16"/>
        <v>12700.800000000001</v>
      </c>
      <c r="AT40" s="104">
        <f t="shared" si="24"/>
        <v>-145.35360000000219</v>
      </c>
      <c r="AU40" s="103">
        <f t="shared" si="17"/>
        <v>4.4950000000000001</v>
      </c>
      <c r="AV40" s="104">
        <f t="shared" si="18"/>
        <v>4.2249999999999996</v>
      </c>
      <c r="AW40" s="105">
        <f t="shared" si="19"/>
        <v>0.16994106090373301</v>
      </c>
      <c r="AY40" s="150">
        <f t="shared" si="29"/>
        <v>5.0900000000000007</v>
      </c>
      <c r="AZ40" s="151">
        <f t="shared" si="27"/>
        <v>0</v>
      </c>
      <c r="BA40" s="160">
        <f t="shared" si="25"/>
        <v>5.0900000000000007</v>
      </c>
      <c r="BB40" s="164"/>
      <c r="BD40" s="86" t="s">
        <v>106</v>
      </c>
      <c r="BE40" s="86" t="s">
        <v>263</v>
      </c>
      <c r="BF40" s="87" t="s">
        <v>264</v>
      </c>
      <c r="BG40" s="87">
        <v>387000650117</v>
      </c>
      <c r="BH40" s="86" t="s">
        <v>265</v>
      </c>
      <c r="BI40" s="86">
        <v>2222</v>
      </c>
      <c r="BJ40" s="86" t="s">
        <v>266</v>
      </c>
      <c r="BK40" s="86">
        <v>13312250</v>
      </c>
      <c r="BL40" s="86" t="s">
        <v>267</v>
      </c>
      <c r="BM40" s="86" t="s">
        <v>108</v>
      </c>
    </row>
    <row r="41" spans="1:65 16369:16369" s="106" customFormat="1" ht="14.25" customHeight="1" thickBot="1" x14ac:dyDescent="0.25">
      <c r="A41" s="109">
        <v>4.2599999999999999E-2</v>
      </c>
      <c r="B41" s="27">
        <f>VLOOKUP(F41,Planilha3!D:F,3,0)</f>
        <v>5.894933361411514</v>
      </c>
      <c r="C41" s="90">
        <f t="shared" si="20"/>
        <v>138.37871740402616</v>
      </c>
      <c r="D41" s="90" t="s">
        <v>76</v>
      </c>
      <c r="E41" s="90" t="s">
        <v>79</v>
      </c>
      <c r="F41" s="107">
        <v>903741</v>
      </c>
      <c r="G41" s="107">
        <v>1080284</v>
      </c>
      <c r="H41" s="92" t="s">
        <v>17</v>
      </c>
      <c r="I41" s="93">
        <v>12</v>
      </c>
      <c r="J41" s="93">
        <v>175</v>
      </c>
      <c r="K41" s="94">
        <f t="shared" ref="K41:K47" si="34">J41*24</f>
        <v>4200</v>
      </c>
      <c r="L41" s="170">
        <v>700</v>
      </c>
      <c r="M41" s="180">
        <f t="shared" si="1"/>
        <v>4</v>
      </c>
      <c r="N41" s="95">
        <f t="shared" si="33"/>
        <v>0.16666666666666666</v>
      </c>
      <c r="O41" s="148">
        <v>64.37</v>
      </c>
      <c r="P41" s="135">
        <f t="shared" si="21"/>
        <v>5.3641666666666667</v>
      </c>
      <c r="Q41" s="96">
        <f t="shared" si="3"/>
        <v>0</v>
      </c>
      <c r="R41" s="96">
        <v>0</v>
      </c>
      <c r="S41" s="97">
        <f t="shared" si="4"/>
        <v>0</v>
      </c>
      <c r="T41" s="97">
        <v>0</v>
      </c>
      <c r="U41" s="121">
        <f t="shared" si="22"/>
        <v>0</v>
      </c>
      <c r="V41" s="121">
        <v>0</v>
      </c>
      <c r="W41" s="36">
        <v>6.7900000000000009</v>
      </c>
      <c r="X41" s="36">
        <v>6.7900000000000009</v>
      </c>
      <c r="Y41" s="36"/>
      <c r="Z41" s="98">
        <f t="shared" si="5"/>
        <v>0</v>
      </c>
      <c r="AA41" s="99">
        <f t="shared" si="6"/>
        <v>45059</v>
      </c>
      <c r="AB41" s="100">
        <f>L41*12*0.355/100</f>
        <v>29.82</v>
      </c>
      <c r="AC41" s="101"/>
      <c r="AD41" s="44">
        <f t="shared" si="7"/>
        <v>0</v>
      </c>
      <c r="AE41" s="102">
        <f t="shared" si="8"/>
        <v>0</v>
      </c>
      <c r="AF41" s="102">
        <f t="shared" si="23"/>
        <v>0</v>
      </c>
      <c r="AH41" s="137">
        <v>0</v>
      </c>
      <c r="AI41" s="103">
        <f t="shared" si="9"/>
        <v>0</v>
      </c>
      <c r="AJ41" s="103">
        <f t="shared" si="10"/>
        <v>0</v>
      </c>
      <c r="AK41" s="103"/>
      <c r="AL41" s="103">
        <f t="shared" si="11"/>
        <v>0</v>
      </c>
      <c r="AM41" s="103">
        <f t="shared" si="12"/>
        <v>0</v>
      </c>
      <c r="AN41" s="7">
        <v>0</v>
      </c>
      <c r="AO41" s="138">
        <f t="shared" si="13"/>
        <v>0</v>
      </c>
      <c r="AP41" s="138">
        <f t="shared" si="14"/>
        <v>0</v>
      </c>
      <c r="AQ41" s="103">
        <f t="shared" si="15"/>
        <v>0</v>
      </c>
      <c r="AR41" s="103">
        <f t="shared" si="15"/>
        <v>0</v>
      </c>
      <c r="AS41" s="104">
        <f t="shared" si="16"/>
        <v>0</v>
      </c>
      <c r="AT41" s="104">
        <f t="shared" si="24"/>
        <v>0</v>
      </c>
      <c r="AU41" s="103">
        <f t="shared" si="17"/>
        <v>5.3641666666666667</v>
      </c>
      <c r="AV41" s="104">
        <f t="shared" si="18"/>
        <v>5.3641666666666667</v>
      </c>
      <c r="AW41" s="105">
        <f t="shared" si="19"/>
        <v>0.20999018163966626</v>
      </c>
      <c r="AY41" s="150">
        <f t="shared" si="29"/>
        <v>6.7900000000000009</v>
      </c>
      <c r="AZ41" s="151">
        <f t="shared" si="27"/>
        <v>0</v>
      </c>
      <c r="BA41" s="160">
        <f t="shared" si="25"/>
        <v>6.7900000000000009</v>
      </c>
      <c r="BB41" s="164"/>
      <c r="BD41" s="86" t="s">
        <v>106</v>
      </c>
      <c r="BE41" s="86" t="s">
        <v>263</v>
      </c>
      <c r="BF41" s="87" t="s">
        <v>264</v>
      </c>
      <c r="BG41" s="87">
        <v>387000650117</v>
      </c>
      <c r="BH41" s="86" t="s">
        <v>265</v>
      </c>
      <c r="BI41" s="86">
        <v>2222</v>
      </c>
      <c r="BJ41" s="86" t="s">
        <v>266</v>
      </c>
      <c r="BK41" s="86">
        <v>13312250</v>
      </c>
      <c r="BL41" s="86" t="s">
        <v>267</v>
      </c>
      <c r="BM41" s="86" t="s">
        <v>108</v>
      </c>
    </row>
    <row r="42" spans="1:65 16369:16369" s="106" customFormat="1" ht="14.25" customHeight="1" thickBot="1" x14ac:dyDescent="0.25">
      <c r="A42" s="109">
        <v>4.2599999999999999E-2</v>
      </c>
      <c r="B42" s="27">
        <f>VLOOKUP(F42,Planilha3!D:F,3,0)</f>
        <v>5.6291775156513468</v>
      </c>
      <c r="C42" s="90">
        <f t="shared" si="20"/>
        <v>132.14031726881097</v>
      </c>
      <c r="D42" s="90" t="s">
        <v>76</v>
      </c>
      <c r="E42" s="90" t="s">
        <v>79</v>
      </c>
      <c r="F42" s="107">
        <v>902544</v>
      </c>
      <c r="G42" s="107">
        <v>1041649</v>
      </c>
      <c r="H42" s="92" t="s">
        <v>15</v>
      </c>
      <c r="I42" s="93">
        <v>12</v>
      </c>
      <c r="J42" s="93">
        <v>175</v>
      </c>
      <c r="K42" s="94">
        <f t="shared" si="34"/>
        <v>4200</v>
      </c>
      <c r="L42" s="170">
        <v>700</v>
      </c>
      <c r="M42" s="180">
        <f t="shared" si="1"/>
        <v>4</v>
      </c>
      <c r="N42" s="95">
        <f t="shared" si="33"/>
        <v>0.16666666666666666</v>
      </c>
      <c r="O42" s="148">
        <v>64.37</v>
      </c>
      <c r="P42" s="135">
        <f t="shared" si="21"/>
        <v>5.3641666666666667</v>
      </c>
      <c r="Q42" s="96">
        <f t="shared" si="3"/>
        <v>0</v>
      </c>
      <c r="R42" s="96">
        <v>0</v>
      </c>
      <c r="S42" s="97">
        <f t="shared" si="4"/>
        <v>0</v>
      </c>
      <c r="T42" s="97">
        <v>0</v>
      </c>
      <c r="U42" s="121">
        <f t="shared" si="22"/>
        <v>0</v>
      </c>
      <c r="V42" s="121">
        <v>0</v>
      </c>
      <c r="W42" s="36">
        <v>6.7900000000000009</v>
      </c>
      <c r="X42" s="36">
        <v>6.7900000000000009</v>
      </c>
      <c r="Y42" s="36"/>
      <c r="Z42" s="98">
        <f t="shared" si="5"/>
        <v>0</v>
      </c>
      <c r="AA42" s="99">
        <f t="shared" si="6"/>
        <v>45059</v>
      </c>
      <c r="AB42" s="100">
        <f>L42*12*0.355/100</f>
        <v>29.82</v>
      </c>
      <c r="AC42" s="101"/>
      <c r="AD42" s="44">
        <f t="shared" si="7"/>
        <v>0</v>
      </c>
      <c r="AE42" s="102">
        <f t="shared" si="8"/>
        <v>0</v>
      </c>
      <c r="AF42" s="102">
        <f t="shared" si="23"/>
        <v>0</v>
      </c>
      <c r="AH42" s="137">
        <v>0</v>
      </c>
      <c r="AI42" s="103">
        <f t="shared" si="9"/>
        <v>0</v>
      </c>
      <c r="AJ42" s="103">
        <f t="shared" si="10"/>
        <v>0</v>
      </c>
      <c r="AK42" s="103"/>
      <c r="AL42" s="103">
        <f t="shared" si="11"/>
        <v>0</v>
      </c>
      <c r="AM42" s="103">
        <f t="shared" si="12"/>
        <v>0</v>
      </c>
      <c r="AN42" s="7">
        <v>0</v>
      </c>
      <c r="AO42" s="138">
        <f t="shared" si="13"/>
        <v>0</v>
      </c>
      <c r="AP42" s="138">
        <f t="shared" si="14"/>
        <v>0</v>
      </c>
      <c r="AQ42" s="103">
        <f t="shared" si="15"/>
        <v>0</v>
      </c>
      <c r="AR42" s="103">
        <f t="shared" si="15"/>
        <v>0</v>
      </c>
      <c r="AS42" s="104">
        <f t="shared" si="16"/>
        <v>0</v>
      </c>
      <c r="AT42" s="104">
        <f t="shared" si="24"/>
        <v>0</v>
      </c>
      <c r="AU42" s="103">
        <f t="shared" si="17"/>
        <v>5.3641666666666667</v>
      </c>
      <c r="AV42" s="104">
        <f t="shared" si="18"/>
        <v>5.3641666666666667</v>
      </c>
      <c r="AW42" s="105">
        <f t="shared" si="19"/>
        <v>0.20999018163966626</v>
      </c>
      <c r="AY42" s="150">
        <f t="shared" si="29"/>
        <v>6.7900000000000009</v>
      </c>
      <c r="AZ42" s="151">
        <f t="shared" si="27"/>
        <v>0</v>
      </c>
      <c r="BA42" s="160">
        <f t="shared" si="25"/>
        <v>6.7900000000000009</v>
      </c>
      <c r="BB42" s="164"/>
      <c r="BD42" s="86" t="s">
        <v>106</v>
      </c>
      <c r="BE42" s="86" t="s">
        <v>263</v>
      </c>
      <c r="BF42" s="87" t="s">
        <v>264</v>
      </c>
      <c r="BG42" s="87">
        <v>387000650117</v>
      </c>
      <c r="BH42" s="86" t="s">
        <v>265</v>
      </c>
      <c r="BI42" s="86">
        <v>2222</v>
      </c>
      <c r="BJ42" s="86" t="s">
        <v>266</v>
      </c>
      <c r="BK42" s="86">
        <v>13312250</v>
      </c>
      <c r="BL42" s="86" t="s">
        <v>267</v>
      </c>
      <c r="BM42" s="86" t="s">
        <v>108</v>
      </c>
    </row>
    <row r="43" spans="1:65 16369:16369" s="106" customFormat="1" ht="14.25" customHeight="1" thickBot="1" x14ac:dyDescent="0.25">
      <c r="A43" s="89">
        <v>4.2000000000000003E-2</v>
      </c>
      <c r="B43" s="27">
        <f>VLOOKUP(F43,Planilha3!D:F,3,0)</f>
        <v>33.175374857016735</v>
      </c>
      <c r="C43" s="90">
        <f t="shared" si="20"/>
        <v>789.88987754801747</v>
      </c>
      <c r="D43" s="90" t="s">
        <v>76</v>
      </c>
      <c r="E43" s="90" t="s">
        <v>79</v>
      </c>
      <c r="F43" s="107">
        <v>903683</v>
      </c>
      <c r="G43" s="107">
        <v>1110091</v>
      </c>
      <c r="H43" s="92" t="s">
        <v>16</v>
      </c>
      <c r="I43" s="93">
        <v>12</v>
      </c>
      <c r="J43" s="93">
        <v>280</v>
      </c>
      <c r="K43" s="94">
        <f t="shared" si="34"/>
        <v>6720</v>
      </c>
      <c r="L43" s="125">
        <v>840</v>
      </c>
      <c r="M43" s="180">
        <f t="shared" si="1"/>
        <v>3</v>
      </c>
      <c r="N43" s="95">
        <f t="shared" si="33"/>
        <v>0.125</v>
      </c>
      <c r="O43" s="148">
        <v>53.94</v>
      </c>
      <c r="P43" s="135">
        <f t="shared" si="21"/>
        <v>4.4950000000000001</v>
      </c>
      <c r="Q43" s="108">
        <f t="shared" si="3"/>
        <v>3.24</v>
      </c>
      <c r="R43" s="108">
        <v>0.27</v>
      </c>
      <c r="S43" s="122">
        <f t="shared" si="4"/>
        <v>0</v>
      </c>
      <c r="T43" s="122">
        <v>0</v>
      </c>
      <c r="U43" s="121">
        <f t="shared" si="22"/>
        <v>0.27</v>
      </c>
      <c r="V43" s="121">
        <v>0.27</v>
      </c>
      <c r="W43" s="36">
        <v>5.69</v>
      </c>
      <c r="X43" s="36">
        <v>5.0900000000000007</v>
      </c>
      <c r="Y43" s="36"/>
      <c r="Z43" s="98">
        <f t="shared" si="5"/>
        <v>2721.6000000000004</v>
      </c>
      <c r="AA43" s="99">
        <f t="shared" si="6"/>
        <v>45309.599999999999</v>
      </c>
      <c r="AB43" s="100">
        <f>L43*12*0.35/100</f>
        <v>35.28</v>
      </c>
      <c r="AC43" s="101"/>
      <c r="AD43" s="44">
        <f t="shared" si="7"/>
        <v>0.26691000000000004</v>
      </c>
      <c r="AE43" s="102">
        <f t="shared" si="8"/>
        <v>0.27</v>
      </c>
      <c r="AF43" s="102">
        <f t="shared" si="23"/>
        <v>-3.0899999999999817E-3</v>
      </c>
      <c r="AH43" s="175">
        <v>76.260000000000005</v>
      </c>
      <c r="AI43" s="176">
        <f t="shared" si="9"/>
        <v>2690.4528000000005</v>
      </c>
      <c r="AJ43" s="176">
        <f t="shared" si="10"/>
        <v>0.26691000000000004</v>
      </c>
      <c r="AK43" s="103"/>
      <c r="AL43" s="103">
        <f t="shared" si="11"/>
        <v>0</v>
      </c>
      <c r="AM43" s="103">
        <f t="shared" si="12"/>
        <v>0</v>
      </c>
      <c r="AN43" s="7">
        <v>0</v>
      </c>
      <c r="AO43" s="138">
        <f t="shared" si="13"/>
        <v>0</v>
      </c>
      <c r="AP43" s="138">
        <f t="shared" si="14"/>
        <v>0</v>
      </c>
      <c r="AQ43" s="103">
        <f t="shared" si="15"/>
        <v>2690.4528000000005</v>
      </c>
      <c r="AR43" s="103">
        <f t="shared" si="15"/>
        <v>0.26691000000000004</v>
      </c>
      <c r="AS43" s="104">
        <f t="shared" si="16"/>
        <v>2721.6000000000004</v>
      </c>
      <c r="AT43" s="104">
        <f t="shared" si="24"/>
        <v>-31.147199999999884</v>
      </c>
      <c r="AU43" s="103">
        <f t="shared" si="17"/>
        <v>4.4950000000000001</v>
      </c>
      <c r="AV43" s="104">
        <f t="shared" si="18"/>
        <v>4.2249999999999996</v>
      </c>
      <c r="AW43" s="105">
        <f t="shared" si="19"/>
        <v>0.16994106090373301</v>
      </c>
      <c r="AY43" s="150">
        <f t="shared" si="29"/>
        <v>5.0900000000000007</v>
      </c>
      <c r="AZ43" s="151">
        <f t="shared" si="27"/>
        <v>0</v>
      </c>
      <c r="BA43" s="160">
        <f t="shared" si="25"/>
        <v>5.0900000000000007</v>
      </c>
      <c r="BB43" s="164"/>
      <c r="BD43" s="86" t="s">
        <v>106</v>
      </c>
      <c r="BE43" s="86" t="s">
        <v>263</v>
      </c>
      <c r="BF43" s="87" t="s">
        <v>264</v>
      </c>
      <c r="BG43" s="87">
        <v>387000650117</v>
      </c>
      <c r="BH43" s="86" t="s">
        <v>265</v>
      </c>
      <c r="BI43" s="86">
        <v>2222</v>
      </c>
      <c r="BJ43" s="86" t="s">
        <v>266</v>
      </c>
      <c r="BK43" s="86">
        <v>13312250</v>
      </c>
      <c r="BL43" s="86" t="s">
        <v>267</v>
      </c>
      <c r="BM43" s="86" t="s">
        <v>108</v>
      </c>
    </row>
    <row r="44" spans="1:65 16369:16369" s="106" customFormat="1" ht="14.25" customHeight="1" thickBot="1" x14ac:dyDescent="0.25">
      <c r="A44" s="89">
        <v>4.2000000000000003E-2</v>
      </c>
      <c r="B44" s="27">
        <v>0</v>
      </c>
      <c r="C44" s="90">
        <f t="shared" si="20"/>
        <v>0</v>
      </c>
      <c r="D44" s="90" t="s">
        <v>76</v>
      </c>
      <c r="E44" s="90" t="s">
        <v>79</v>
      </c>
      <c r="F44" s="107">
        <v>904773</v>
      </c>
      <c r="G44" s="107">
        <v>1170235</v>
      </c>
      <c r="H44" s="92" t="s">
        <v>14</v>
      </c>
      <c r="I44" s="93">
        <v>12</v>
      </c>
      <c r="J44" s="93">
        <v>280</v>
      </c>
      <c r="K44" s="94">
        <f t="shared" si="34"/>
        <v>6720</v>
      </c>
      <c r="L44" s="170">
        <v>1400</v>
      </c>
      <c r="M44" s="180">
        <f t="shared" si="1"/>
        <v>5</v>
      </c>
      <c r="N44" s="95">
        <f t="shared" si="33"/>
        <v>0.20833333333333334</v>
      </c>
      <c r="O44" s="148">
        <v>53.94</v>
      </c>
      <c r="P44" s="135">
        <f t="shared" si="21"/>
        <v>4.4950000000000001</v>
      </c>
      <c r="Q44" s="108">
        <f t="shared" si="3"/>
        <v>3.24</v>
      </c>
      <c r="R44" s="108">
        <v>0.27</v>
      </c>
      <c r="S44" s="122">
        <f t="shared" si="4"/>
        <v>0</v>
      </c>
      <c r="T44" s="122">
        <v>0</v>
      </c>
      <c r="U44" s="121">
        <f t="shared" si="22"/>
        <v>0.27</v>
      </c>
      <c r="V44" s="121">
        <v>0.27</v>
      </c>
      <c r="W44" s="36">
        <v>5.69</v>
      </c>
      <c r="X44" s="36">
        <v>5.0900000000000007</v>
      </c>
      <c r="Y44" s="36"/>
      <c r="Z44" s="98">
        <f t="shared" si="5"/>
        <v>4536</v>
      </c>
      <c r="AA44" s="99">
        <f t="shared" si="6"/>
        <v>75516</v>
      </c>
      <c r="AB44" s="100">
        <f>L44*12*0.35/100</f>
        <v>58.8</v>
      </c>
      <c r="AC44" s="101"/>
      <c r="AD44" s="44">
        <f t="shared" si="7"/>
        <v>0.26690999999999998</v>
      </c>
      <c r="AE44" s="102">
        <f t="shared" si="8"/>
        <v>0.27</v>
      </c>
      <c r="AF44" s="102">
        <f t="shared" si="23"/>
        <v>-3.0900000000000372E-3</v>
      </c>
      <c r="AH44" s="175">
        <v>76.260000000000005</v>
      </c>
      <c r="AI44" s="176">
        <f t="shared" si="9"/>
        <v>4484.0879999999997</v>
      </c>
      <c r="AJ44" s="176">
        <f t="shared" si="10"/>
        <v>0.26690999999999998</v>
      </c>
      <c r="AK44" s="103"/>
      <c r="AL44" s="103">
        <f t="shared" si="11"/>
        <v>0</v>
      </c>
      <c r="AM44" s="103">
        <f t="shared" si="12"/>
        <v>0</v>
      </c>
      <c r="AN44" s="7">
        <v>0</v>
      </c>
      <c r="AO44" s="138">
        <f t="shared" si="13"/>
        <v>0</v>
      </c>
      <c r="AP44" s="138">
        <f t="shared" si="14"/>
        <v>0</v>
      </c>
      <c r="AQ44" s="103">
        <f t="shared" si="15"/>
        <v>4484.0879999999997</v>
      </c>
      <c r="AR44" s="103">
        <f t="shared" si="15"/>
        <v>0.26690999999999998</v>
      </c>
      <c r="AS44" s="104">
        <f t="shared" si="16"/>
        <v>4536</v>
      </c>
      <c r="AT44" s="104">
        <f t="shared" si="24"/>
        <v>-51.912000000000262</v>
      </c>
      <c r="AU44" s="103">
        <f t="shared" si="17"/>
        <v>4.4950000000000001</v>
      </c>
      <c r="AV44" s="104">
        <f t="shared" si="18"/>
        <v>4.2249999999999996</v>
      </c>
      <c r="AW44" s="105">
        <f t="shared" si="19"/>
        <v>0.16994106090373301</v>
      </c>
      <c r="AY44" s="150">
        <f t="shared" si="29"/>
        <v>5.0900000000000007</v>
      </c>
      <c r="AZ44" s="151">
        <f t="shared" si="27"/>
        <v>0</v>
      </c>
      <c r="BA44" s="160">
        <f t="shared" si="25"/>
        <v>5.0900000000000007</v>
      </c>
      <c r="BB44" s="164"/>
      <c r="BD44" s="86" t="s">
        <v>106</v>
      </c>
      <c r="BE44" s="86" t="s">
        <v>263</v>
      </c>
      <c r="BF44" s="87" t="s">
        <v>264</v>
      </c>
      <c r="BG44" s="87">
        <v>387000650117</v>
      </c>
      <c r="BH44" s="86" t="s">
        <v>265</v>
      </c>
      <c r="BI44" s="86">
        <v>2222</v>
      </c>
      <c r="BJ44" s="86" t="s">
        <v>266</v>
      </c>
      <c r="BK44" s="86">
        <v>13312250</v>
      </c>
      <c r="BL44" s="86" t="s">
        <v>267</v>
      </c>
      <c r="BM44" s="86" t="s">
        <v>108</v>
      </c>
    </row>
    <row r="45" spans="1:65 16369:16369" s="106" customFormat="1" ht="14.25" customHeight="1" thickBot="1" x14ac:dyDescent="0.25">
      <c r="A45" s="109">
        <v>4.2599999999999999E-2</v>
      </c>
      <c r="B45" s="27">
        <f>VLOOKUP(F45,Planilha3!D:F,3,0)</f>
        <v>3.9785143998218149</v>
      </c>
      <c r="C45" s="90">
        <f t="shared" si="20"/>
        <v>93.392356803328994</v>
      </c>
      <c r="D45" s="90" t="s">
        <v>76</v>
      </c>
      <c r="E45" s="90" t="s">
        <v>79</v>
      </c>
      <c r="F45" s="107">
        <v>902581</v>
      </c>
      <c r="G45" s="107">
        <v>1017033</v>
      </c>
      <c r="H45" s="92" t="s">
        <v>13</v>
      </c>
      <c r="I45" s="93">
        <v>12</v>
      </c>
      <c r="J45" s="93">
        <v>175</v>
      </c>
      <c r="K45" s="94">
        <f t="shared" si="34"/>
        <v>4200</v>
      </c>
      <c r="L45" s="170">
        <v>350</v>
      </c>
      <c r="M45" s="180">
        <f t="shared" si="1"/>
        <v>2</v>
      </c>
      <c r="N45" s="95">
        <f t="shared" si="33"/>
        <v>8.3333333333333329E-2</v>
      </c>
      <c r="O45" s="148">
        <v>64.37</v>
      </c>
      <c r="P45" s="135">
        <f t="shared" si="21"/>
        <v>5.3641666666666667</v>
      </c>
      <c r="Q45" s="96">
        <f t="shared" si="3"/>
        <v>0</v>
      </c>
      <c r="R45" s="96">
        <v>0</v>
      </c>
      <c r="S45" s="97">
        <f t="shared" si="4"/>
        <v>0</v>
      </c>
      <c r="T45" s="97">
        <v>0</v>
      </c>
      <c r="U45" s="121">
        <f t="shared" si="22"/>
        <v>0</v>
      </c>
      <c r="V45" s="121">
        <v>0</v>
      </c>
      <c r="W45" s="36">
        <v>6.7900000000000009</v>
      </c>
      <c r="X45" s="36">
        <v>6.7900000000000009</v>
      </c>
      <c r="Y45" s="36"/>
      <c r="Z45" s="98">
        <f t="shared" si="5"/>
        <v>0</v>
      </c>
      <c r="AA45" s="99">
        <f t="shared" si="6"/>
        <v>22529.5</v>
      </c>
      <c r="AB45" s="100">
        <f>L45*12*0.355/100</f>
        <v>14.91</v>
      </c>
      <c r="AC45" s="101"/>
      <c r="AD45" s="44">
        <f t="shared" si="7"/>
        <v>0</v>
      </c>
      <c r="AE45" s="102">
        <f t="shared" si="8"/>
        <v>0</v>
      </c>
      <c r="AF45" s="102">
        <f t="shared" si="23"/>
        <v>0</v>
      </c>
      <c r="AH45" s="137">
        <v>0</v>
      </c>
      <c r="AI45" s="103">
        <f t="shared" si="9"/>
        <v>0</v>
      </c>
      <c r="AJ45" s="103">
        <f t="shared" si="10"/>
        <v>0</v>
      </c>
      <c r="AK45" s="103"/>
      <c r="AL45" s="103">
        <f t="shared" si="11"/>
        <v>0</v>
      </c>
      <c r="AM45" s="103">
        <f t="shared" si="12"/>
        <v>0</v>
      </c>
      <c r="AN45" s="7">
        <v>0</v>
      </c>
      <c r="AO45" s="138">
        <f t="shared" si="13"/>
        <v>0</v>
      </c>
      <c r="AP45" s="138">
        <f t="shared" si="14"/>
        <v>0</v>
      </c>
      <c r="AQ45" s="103">
        <f t="shared" si="15"/>
        <v>0</v>
      </c>
      <c r="AR45" s="103">
        <f t="shared" si="15"/>
        <v>0</v>
      </c>
      <c r="AS45" s="104">
        <f t="shared" si="16"/>
        <v>0</v>
      </c>
      <c r="AT45" s="104">
        <f t="shared" si="24"/>
        <v>0</v>
      </c>
      <c r="AU45" s="103">
        <f t="shared" si="17"/>
        <v>5.3641666666666667</v>
      </c>
      <c r="AV45" s="104">
        <f t="shared" si="18"/>
        <v>5.3641666666666667</v>
      </c>
      <c r="AW45" s="105">
        <f t="shared" si="19"/>
        <v>0.20999018163966626</v>
      </c>
      <c r="AY45" s="150">
        <f t="shared" si="29"/>
        <v>6.7900000000000009</v>
      </c>
      <c r="AZ45" s="151">
        <f t="shared" si="27"/>
        <v>0</v>
      </c>
      <c r="BA45" s="160">
        <f t="shared" si="25"/>
        <v>6.7900000000000009</v>
      </c>
      <c r="BB45" s="164"/>
      <c r="BD45" s="86" t="s">
        <v>106</v>
      </c>
      <c r="BE45" s="86" t="s">
        <v>263</v>
      </c>
      <c r="BF45" s="87" t="s">
        <v>264</v>
      </c>
      <c r="BG45" s="87">
        <v>387000650117</v>
      </c>
      <c r="BH45" s="86" t="s">
        <v>265</v>
      </c>
      <c r="BI45" s="86">
        <v>2222</v>
      </c>
      <c r="BJ45" s="86" t="s">
        <v>266</v>
      </c>
      <c r="BK45" s="86">
        <v>13312250</v>
      </c>
      <c r="BL45" s="86" t="s">
        <v>267</v>
      </c>
      <c r="BM45" s="86" t="s">
        <v>108</v>
      </c>
    </row>
    <row r="46" spans="1:65 16369:16369" s="106" customFormat="1" ht="14.25" customHeight="1" thickBot="1" x14ac:dyDescent="0.25">
      <c r="A46" s="109">
        <v>4.2599999999999999E-2</v>
      </c>
      <c r="B46" s="27">
        <f>VLOOKUP(F46,Planilha3!D:F,3,0)</f>
        <v>2.5961263095001876</v>
      </c>
      <c r="C46" s="90">
        <f t="shared" si="20"/>
        <v>60.941932147891727</v>
      </c>
      <c r="D46" s="90" t="s">
        <v>76</v>
      </c>
      <c r="E46" s="90" t="s">
        <v>77</v>
      </c>
      <c r="F46" s="107">
        <v>903901</v>
      </c>
      <c r="G46" s="107">
        <v>1170142</v>
      </c>
      <c r="H46" s="92" t="s">
        <v>2</v>
      </c>
      <c r="I46" s="93">
        <v>12</v>
      </c>
      <c r="J46" s="93">
        <v>126</v>
      </c>
      <c r="K46" s="94">
        <f t="shared" si="34"/>
        <v>3024</v>
      </c>
      <c r="L46" s="125">
        <v>126</v>
      </c>
      <c r="M46" s="180">
        <f t="shared" si="1"/>
        <v>1</v>
      </c>
      <c r="N46" s="95">
        <f t="shared" si="33"/>
        <v>4.1666666666666664E-2</v>
      </c>
      <c r="O46" s="148">
        <v>104.19</v>
      </c>
      <c r="P46" s="135">
        <f t="shared" si="21"/>
        <v>8.6824999999999992</v>
      </c>
      <c r="Q46" s="96">
        <f t="shared" si="3"/>
        <v>0</v>
      </c>
      <c r="R46" s="96">
        <v>0</v>
      </c>
      <c r="S46" s="97">
        <f t="shared" si="4"/>
        <v>0</v>
      </c>
      <c r="T46" s="97">
        <v>0</v>
      </c>
      <c r="U46" s="121">
        <f t="shared" si="22"/>
        <v>0</v>
      </c>
      <c r="V46" s="121">
        <v>0</v>
      </c>
      <c r="W46" s="36">
        <f>VLOOKUP(F46,'[1]Proposta HNK para Tenda'!$F:$T,15,0)</f>
        <v>10.99</v>
      </c>
      <c r="X46" s="36">
        <f>VLOOKUP(F46,'[1]Proposta HNK para Tenda'!$F:$U,16,0)</f>
        <v>10.99</v>
      </c>
      <c r="Y46" s="36"/>
      <c r="Z46" s="98">
        <f t="shared" si="5"/>
        <v>0</v>
      </c>
      <c r="AA46" s="99">
        <f t="shared" si="6"/>
        <v>13127.94</v>
      </c>
      <c r="AB46" s="100">
        <f>L46*12*0.355/100</f>
        <v>5.3675999999999995</v>
      </c>
      <c r="AC46" s="101"/>
      <c r="AD46" s="44">
        <f t="shared" si="7"/>
        <v>0</v>
      </c>
      <c r="AE46" s="102">
        <f t="shared" si="8"/>
        <v>0</v>
      </c>
      <c r="AF46" s="102">
        <f t="shared" si="23"/>
        <v>0</v>
      </c>
      <c r="AH46" s="137">
        <v>0</v>
      </c>
      <c r="AI46" s="103">
        <f t="shared" si="9"/>
        <v>0</v>
      </c>
      <c r="AJ46" s="103">
        <f t="shared" si="10"/>
        <v>0</v>
      </c>
      <c r="AK46" s="103"/>
      <c r="AL46" s="103">
        <f t="shared" si="11"/>
        <v>0</v>
      </c>
      <c r="AM46" s="103">
        <f t="shared" si="12"/>
        <v>0</v>
      </c>
      <c r="AN46" s="7">
        <v>0</v>
      </c>
      <c r="AO46" s="138">
        <f t="shared" si="13"/>
        <v>0</v>
      </c>
      <c r="AP46" s="138">
        <f t="shared" si="14"/>
        <v>0</v>
      </c>
      <c r="AQ46" s="103">
        <f t="shared" si="15"/>
        <v>0</v>
      </c>
      <c r="AR46" s="103">
        <f t="shared" si="15"/>
        <v>0</v>
      </c>
      <c r="AS46" s="104">
        <f t="shared" si="16"/>
        <v>0</v>
      </c>
      <c r="AT46" s="104">
        <f t="shared" si="24"/>
        <v>0</v>
      </c>
      <c r="AU46" s="103">
        <f t="shared" si="17"/>
        <v>8.6824999999999992</v>
      </c>
      <c r="AV46" s="104">
        <f t="shared" si="18"/>
        <v>8.6824999999999992</v>
      </c>
      <c r="AW46" s="105">
        <f t="shared" si="19"/>
        <v>0.20996360327570526</v>
      </c>
      <c r="AY46" s="150">
        <f t="shared" si="29"/>
        <v>10.99</v>
      </c>
      <c r="AZ46" s="151">
        <f t="shared" si="27"/>
        <v>0</v>
      </c>
      <c r="BA46" s="160">
        <f t="shared" si="25"/>
        <v>10.99</v>
      </c>
      <c r="BB46" s="164"/>
      <c r="BD46" s="86" t="s">
        <v>106</v>
      </c>
      <c r="BE46" s="86" t="s">
        <v>263</v>
      </c>
      <c r="BF46" s="87" t="s">
        <v>264</v>
      </c>
      <c r="BG46" s="87">
        <v>387000650117</v>
      </c>
      <c r="BH46" s="86" t="s">
        <v>265</v>
      </c>
      <c r="BI46" s="86">
        <v>2222</v>
      </c>
      <c r="BJ46" s="86" t="s">
        <v>266</v>
      </c>
      <c r="BK46" s="86">
        <v>13312250</v>
      </c>
      <c r="BL46" s="86" t="s">
        <v>267</v>
      </c>
      <c r="BM46" s="86" t="s">
        <v>108</v>
      </c>
    </row>
    <row r="47" spans="1:65 16369:16369" s="106" customFormat="1" ht="14.25" customHeight="1" thickBot="1" x14ac:dyDescent="0.25">
      <c r="A47" s="109">
        <v>4.2000000000000003E-2</v>
      </c>
      <c r="B47" s="27">
        <f>VLOOKUP(F47,Planilha3!D:F,3,0)</f>
        <v>5.5383412037525046</v>
      </c>
      <c r="C47" s="90">
        <f t="shared" si="20"/>
        <v>131.86526675601201</v>
      </c>
      <c r="D47" s="90" t="s">
        <v>76</v>
      </c>
      <c r="E47" s="90" t="s">
        <v>77</v>
      </c>
      <c r="F47" s="107">
        <v>904782</v>
      </c>
      <c r="G47" s="107">
        <v>1169716</v>
      </c>
      <c r="H47" s="92" t="s">
        <v>1</v>
      </c>
      <c r="I47" s="93">
        <v>12</v>
      </c>
      <c r="J47" s="93">
        <v>280</v>
      </c>
      <c r="K47" s="94">
        <f t="shared" si="34"/>
        <v>6720</v>
      </c>
      <c r="L47" s="125">
        <v>560</v>
      </c>
      <c r="M47" s="180">
        <f t="shared" si="1"/>
        <v>2</v>
      </c>
      <c r="N47" s="95">
        <f t="shared" si="33"/>
        <v>8.3333333333333329E-2</v>
      </c>
      <c r="O47" s="148">
        <v>85.23</v>
      </c>
      <c r="P47" s="135">
        <f t="shared" si="21"/>
        <v>7.1025</v>
      </c>
      <c r="Q47" s="108">
        <f t="shared" si="3"/>
        <v>10.8</v>
      </c>
      <c r="R47" s="108">
        <v>0.9</v>
      </c>
      <c r="S47" s="122">
        <f t="shared" si="4"/>
        <v>0.24</v>
      </c>
      <c r="T47" s="122">
        <v>0.02</v>
      </c>
      <c r="U47" s="121">
        <f t="shared" si="22"/>
        <v>0.92</v>
      </c>
      <c r="V47" s="121">
        <v>0.92</v>
      </c>
      <c r="W47" s="36">
        <f>VLOOKUP(F47,'[1]Proposta HNK para Tenda'!$F:$T,15,0)</f>
        <v>8.99</v>
      </c>
      <c r="X47" s="36">
        <f>VLOOKUP(F47,'[1]Proposta HNK para Tenda'!$F:$U,16,0)</f>
        <v>6.99</v>
      </c>
      <c r="Y47" s="36"/>
      <c r="Z47" s="98">
        <f t="shared" si="5"/>
        <v>6182.4000000000005</v>
      </c>
      <c r="AA47" s="99">
        <f t="shared" si="6"/>
        <v>47728.800000000003</v>
      </c>
      <c r="AB47" s="100">
        <f t="shared" ref="AB47" si="35">L47*12*0.35/100</f>
        <v>23.52</v>
      </c>
      <c r="AC47" s="101"/>
      <c r="AD47" s="44">
        <f t="shared" si="7"/>
        <v>0.93051000000000006</v>
      </c>
      <c r="AE47" s="102">
        <f t="shared" si="8"/>
        <v>0.92</v>
      </c>
      <c r="AF47" s="102">
        <f t="shared" si="23"/>
        <v>1.0510000000000019E-2</v>
      </c>
      <c r="AH47" s="175">
        <v>265.86</v>
      </c>
      <c r="AI47" s="176">
        <f t="shared" si="9"/>
        <v>6253.0272000000004</v>
      </c>
      <c r="AJ47" s="176">
        <f t="shared" si="10"/>
        <v>0.93051000000000006</v>
      </c>
      <c r="AK47" s="103"/>
      <c r="AL47" s="103">
        <f t="shared" si="11"/>
        <v>0</v>
      </c>
      <c r="AM47" s="103">
        <f t="shared" si="12"/>
        <v>0</v>
      </c>
      <c r="AN47" s="7">
        <v>0</v>
      </c>
      <c r="AO47" s="138">
        <f t="shared" si="13"/>
        <v>0</v>
      </c>
      <c r="AP47" s="138">
        <f t="shared" si="14"/>
        <v>0</v>
      </c>
      <c r="AQ47" s="103">
        <f t="shared" si="15"/>
        <v>6253.0272000000004</v>
      </c>
      <c r="AR47" s="103">
        <f t="shared" si="15"/>
        <v>0.93051000000000006</v>
      </c>
      <c r="AS47" s="104">
        <f t="shared" si="16"/>
        <v>6182.4000000000005</v>
      </c>
      <c r="AT47" s="104">
        <f t="shared" si="24"/>
        <v>70.627199999999903</v>
      </c>
      <c r="AU47" s="103">
        <f t="shared" si="17"/>
        <v>7.1025</v>
      </c>
      <c r="AV47" s="104">
        <f t="shared" si="18"/>
        <v>6.1825000000000001</v>
      </c>
      <c r="AW47" s="105">
        <f t="shared" si="19"/>
        <v>0.11552217453505008</v>
      </c>
      <c r="AY47" s="150">
        <f t="shared" si="29"/>
        <v>6.99</v>
      </c>
      <c r="AZ47" s="151">
        <f t="shared" si="27"/>
        <v>0</v>
      </c>
      <c r="BA47" s="160">
        <f t="shared" si="25"/>
        <v>6.99</v>
      </c>
      <c r="BB47" s="164"/>
      <c r="BD47" s="86" t="s">
        <v>106</v>
      </c>
      <c r="BE47" s="86" t="s">
        <v>263</v>
      </c>
      <c r="BF47" s="87" t="s">
        <v>264</v>
      </c>
      <c r="BG47" s="87">
        <v>387000650117</v>
      </c>
      <c r="BH47" s="86" t="s">
        <v>265</v>
      </c>
      <c r="BI47" s="86">
        <v>2222</v>
      </c>
      <c r="BJ47" s="86" t="s">
        <v>266</v>
      </c>
      <c r="BK47" s="86">
        <v>13312250</v>
      </c>
      <c r="BL47" s="86" t="s">
        <v>267</v>
      </c>
      <c r="BM47" s="86" t="s">
        <v>108</v>
      </c>
    </row>
    <row r="48" spans="1:65 16369:16369" ht="14.25" customHeight="1" x14ac:dyDescent="0.2">
      <c r="B48" s="27"/>
      <c r="N48" s="6">
        <f>SUM(N5:N47)</f>
        <v>338.05128205128187</v>
      </c>
      <c r="T48" s="2"/>
      <c r="U48" s="2"/>
      <c r="V48" s="2"/>
      <c r="W48" s="2"/>
      <c r="X48" s="2"/>
      <c r="Y48" s="2"/>
      <c r="Z48" s="5">
        <f>SUBTOTAL(9,Z5:Z47)</f>
        <v>9417451.2000000011</v>
      </c>
      <c r="AA48" s="5">
        <f>SUBTOTAL(9,AA5:AA47)</f>
        <v>113953224.23999998</v>
      </c>
      <c r="AB48" s="4">
        <f>SUBTOTAL(9,AB5:AB47)</f>
        <v>89092.450480000029</v>
      </c>
      <c r="AC48" s="54"/>
      <c r="AD48" s="58"/>
      <c r="AE48" s="58"/>
      <c r="AF48" s="58"/>
      <c r="AH48" s="54"/>
      <c r="AI48" s="59">
        <f>SUBTOTAL(9,AI5:AI47)</f>
        <v>3116511.7209279994</v>
      </c>
      <c r="AJ48" s="54"/>
      <c r="AK48" s="54"/>
      <c r="AL48" s="59">
        <f>SUBTOTAL(9,AL5:AL47)</f>
        <v>780649.73683200008</v>
      </c>
      <c r="AM48" s="54"/>
      <c r="AN48" s="54"/>
      <c r="AO48" s="59">
        <f>SUBTOTAL(9,AO5:AO47)</f>
        <v>5525350.0896000015</v>
      </c>
      <c r="AP48" s="54"/>
      <c r="AQ48" s="59">
        <f>SUBTOTAL(9,AQ5:AQ47)</f>
        <v>9422511.547360003</v>
      </c>
      <c r="AR48" s="54"/>
      <c r="AS48" s="60">
        <f>SUM(AS5:AS47)</f>
        <v>9417451.2000000011</v>
      </c>
      <c r="AT48" s="60">
        <f>AQ48-AS48</f>
        <v>5060.347360001877</v>
      </c>
      <c r="AU48" s="54"/>
      <c r="AV48" s="54"/>
      <c r="AW48" s="54"/>
      <c r="AY48" s="58"/>
      <c r="AZ48" s="58"/>
      <c r="BA48" s="58"/>
      <c r="BB48" s="58"/>
      <c r="XEO48" s="3">
        <f>SUM(XEO5:XFD47)</f>
        <v>0</v>
      </c>
    </row>
    <row r="49" spans="2:54" ht="14.25" customHeight="1" x14ac:dyDescent="0.2">
      <c r="B49" s="27"/>
      <c r="K49" s="18"/>
      <c r="T49" s="12"/>
      <c r="U49" s="12"/>
      <c r="V49" s="12"/>
      <c r="W49" s="2"/>
      <c r="X49" s="2"/>
      <c r="Y49" s="2"/>
      <c r="Z49" s="2"/>
      <c r="AB49" s="6"/>
      <c r="AD49" s="6"/>
      <c r="AE49" s="6"/>
      <c r="AF49" s="6"/>
      <c r="AQ49" s="3"/>
      <c r="AY49" s="6"/>
      <c r="AZ49" s="6"/>
      <c r="BA49" s="6"/>
      <c r="BB49" s="6"/>
    </row>
    <row r="50" spans="2:54" ht="14.25" customHeight="1" x14ac:dyDescent="0.2">
      <c r="W50" s="2"/>
      <c r="X50" s="2"/>
      <c r="Y50" s="2"/>
      <c r="Z50" s="23"/>
      <c r="AA50" s="23"/>
      <c r="AE50" s="6"/>
      <c r="AH50" s="65" t="s">
        <v>61</v>
      </c>
      <c r="AI50" s="66">
        <f>AQ48</f>
        <v>9422511.547360003</v>
      </c>
      <c r="AJ50" s="3"/>
      <c r="AM50" s="3"/>
      <c r="AP50" s="3"/>
      <c r="AQ50" s="3"/>
      <c r="AR50" s="3"/>
    </row>
    <row r="51" spans="2:54" ht="14.25" customHeight="1" x14ac:dyDescent="0.2">
      <c r="T51" s="12"/>
      <c r="U51" s="12"/>
      <c r="V51" s="12"/>
      <c r="W51" s="12"/>
      <c r="Z51" s="2"/>
      <c r="AA51" s="23"/>
      <c r="AB51" s="6"/>
      <c r="AE51" s="6"/>
      <c r="AF51" s="6"/>
      <c r="AH51" s="67" t="s">
        <v>88</v>
      </c>
      <c r="AI51" s="68">
        <f>Z48</f>
        <v>9417451.2000000011</v>
      </c>
      <c r="AJ51" s="31"/>
      <c r="AQ51" s="3"/>
      <c r="AR51" s="3"/>
      <c r="AY51" s="6"/>
      <c r="AZ51" s="6"/>
      <c r="BA51" s="6"/>
      <c r="BB51" s="6"/>
    </row>
    <row r="52" spans="2:54" ht="14.25" customHeight="1" x14ac:dyDescent="0.2">
      <c r="AA52" s="6"/>
      <c r="AB52" s="6"/>
      <c r="AH52" s="69" t="s">
        <v>71</v>
      </c>
      <c r="AI52" s="70">
        <f>AI50-AI51</f>
        <v>5060.347360001877</v>
      </c>
      <c r="AJ52" s="3">
        <v>366046.2</v>
      </c>
      <c r="AP52" s="3"/>
      <c r="AQ52" s="3"/>
      <c r="AY52" s="6"/>
      <c r="AZ52" s="6"/>
      <c r="BA52" s="6"/>
      <c r="BB52" s="6"/>
    </row>
    <row r="53" spans="2:54" ht="14.25" customHeight="1" thickBot="1" x14ac:dyDescent="0.25">
      <c r="T53" s="3"/>
      <c r="U53" s="3"/>
      <c r="V53" s="3"/>
      <c r="W53" s="3"/>
      <c r="AA53" s="6"/>
      <c r="AB53" s="6"/>
      <c r="AF53" s="2"/>
      <c r="AH53" s="2"/>
      <c r="AI53" s="2" t="s">
        <v>91</v>
      </c>
      <c r="AJ53" s="3"/>
      <c r="AY53" s="2"/>
      <c r="AZ53" s="2"/>
      <c r="BA53" s="2"/>
      <c r="BB53" s="2"/>
    </row>
    <row r="54" spans="2:54" ht="14.25" customHeight="1" x14ac:dyDescent="0.2">
      <c r="X54" s="203" t="s">
        <v>90</v>
      </c>
      <c r="Y54" s="204"/>
      <c r="Z54" s="205"/>
      <c r="AA54" s="6"/>
      <c r="AB54" s="6"/>
      <c r="AF54" s="23">
        <f>AI50/AA48</f>
        <v>8.2687537892872573E-2</v>
      </c>
      <c r="AH54" s="65" t="s">
        <v>86</v>
      </c>
      <c r="AI54" s="72">
        <f>AI50/AA48</f>
        <v>8.2687537892872573E-2</v>
      </c>
      <c r="AJ54" s="3"/>
    </row>
    <row r="55" spans="2:54" ht="14.25" customHeight="1" x14ac:dyDescent="0.2">
      <c r="T55" s="23"/>
      <c r="U55" s="23"/>
      <c r="V55" s="23"/>
      <c r="W55" s="23"/>
      <c r="X55" s="30" t="s">
        <v>76</v>
      </c>
      <c r="Y55" s="30"/>
      <c r="Z55" s="81">
        <f>SUM(Z29:Z47)</f>
        <v>121900.79999999999</v>
      </c>
      <c r="AA55" s="6"/>
      <c r="AB55" s="6"/>
      <c r="AH55" s="71" t="s">
        <v>87</v>
      </c>
      <c r="AI55" s="73">
        <f>Z48/AA48</f>
        <v>8.2643130660047415E-2</v>
      </c>
    </row>
    <row r="56" spans="2:54" ht="14.25" customHeight="1" x14ac:dyDescent="0.2">
      <c r="X56" s="30" t="s">
        <v>89</v>
      </c>
      <c r="Y56" s="30"/>
      <c r="Z56" s="81">
        <f>SUM(Z10:Z25)</f>
        <v>5114527.6800000006</v>
      </c>
      <c r="AA56" s="31"/>
    </row>
    <row r="57" spans="2:54" ht="14.25" customHeight="1" x14ac:dyDescent="0.2">
      <c r="X57" s="30" t="s">
        <v>82</v>
      </c>
      <c r="Y57" s="30"/>
      <c r="Z57" s="81">
        <f>SUM(Z5:Z6,Z7)</f>
        <v>4132800</v>
      </c>
    </row>
    <row r="58" spans="2:54" ht="14.25" customHeight="1" x14ac:dyDescent="0.2">
      <c r="X58" s="30" t="s">
        <v>104</v>
      </c>
      <c r="Y58" s="30"/>
      <c r="Z58" s="81" t="e">
        <f>SUM(#REF!)</f>
        <v>#REF!</v>
      </c>
    </row>
    <row r="59" spans="2:54" ht="14.25" customHeight="1" x14ac:dyDescent="0.2">
      <c r="Z59" s="3" t="e">
        <f>SUM(Z55:Z58)</f>
        <v>#REF!</v>
      </c>
      <c r="AH59" s="23"/>
    </row>
    <row r="61" spans="2:54" ht="14.25" customHeight="1" x14ac:dyDescent="0.2">
      <c r="Z61" s="88"/>
    </row>
  </sheetData>
  <mergeCells count="6">
    <mergeCell ref="AW3:AW4"/>
    <mergeCell ref="X54:Z54"/>
    <mergeCell ref="W3:Y3"/>
    <mergeCell ref="AD3:AD4"/>
    <mergeCell ref="AE3:AE4"/>
    <mergeCell ref="AF3:AF4"/>
  </mergeCells>
  <pageMargins left="0.511811024" right="0.511811024" top="0.78740157499999996" bottom="0.78740157499999996" header="0.31496062000000002" footer="0.31496062000000002"/>
  <pageSetup orientation="portrait" r:id="rId1"/>
  <headerFooter>
    <oddFooter>&amp;R_x000D_&amp;1#&amp;"Calibri"&amp;11&amp;K000000 Este conteúdo foi classificado como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16CE-59C6-4182-BB6F-C90823AC1295}">
  <dimension ref="C2:E4"/>
  <sheetViews>
    <sheetView workbookViewId="0">
      <selection activeCell="C2" sqref="C2:E4"/>
    </sheetView>
  </sheetViews>
  <sheetFormatPr defaultRowHeight="15" x14ac:dyDescent="0.25"/>
  <cols>
    <col min="3" max="3" width="25.5703125" bestFit="1" customWidth="1"/>
    <col min="4" max="4" width="18" customWidth="1"/>
    <col min="5" max="5" width="20.7109375" customWidth="1"/>
  </cols>
  <sheetData>
    <row r="2" spans="3:5" ht="34.5" customHeight="1" x14ac:dyDescent="0.25">
      <c r="C2" s="185" t="s">
        <v>46</v>
      </c>
      <c r="D2" s="185" t="s">
        <v>123</v>
      </c>
      <c r="E2" s="185" t="s">
        <v>286</v>
      </c>
    </row>
    <row r="3" spans="3:5" x14ac:dyDescent="0.25">
      <c r="C3" t="s">
        <v>122</v>
      </c>
      <c r="D3" s="184">
        <v>0.25</v>
      </c>
      <c r="E3" s="184">
        <v>0.8</v>
      </c>
    </row>
    <row r="4" spans="3:5" x14ac:dyDescent="0.25">
      <c r="C4" t="s">
        <v>6</v>
      </c>
      <c r="D4" s="184">
        <v>0.18</v>
      </c>
      <c r="E4" s="184">
        <v>0.4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D614-42A9-4F38-8B0A-EE671F2D373E}">
  <sheetPr>
    <tabColor rgb="FF92D050"/>
  </sheetPr>
  <dimension ref="A1:XEO61"/>
  <sheetViews>
    <sheetView showGridLines="0" zoomScale="91" zoomScaleNormal="91" workbookViewId="0">
      <pane xSplit="11" ySplit="4" topLeftCell="O5" activePane="bottomRight" state="frozen"/>
      <selection activeCell="I19" sqref="I19"/>
      <selection pane="topRight" activeCell="I19" sqref="I19"/>
      <selection pane="bottomLeft" activeCell="I19" sqref="I19"/>
      <selection pane="bottomRight" activeCell="AB8" sqref="AB8"/>
    </sheetView>
  </sheetViews>
  <sheetFormatPr defaultRowHeight="14.25" customHeight="1" outlineLevelCol="1" x14ac:dyDescent="0.2"/>
  <cols>
    <col min="1" max="1" width="9.5703125" style="1" hidden="1" customWidth="1" outlineLevel="1"/>
    <col min="2" max="2" width="11.85546875" style="1" hidden="1" customWidth="1" outlineLevel="1"/>
    <col min="3" max="3" width="8.140625" style="30" hidden="1" customWidth="1" outlineLevel="1"/>
    <col min="4" max="4" width="10.42578125" style="30" hidden="1" customWidth="1" outlineLevel="1"/>
    <col min="5" max="5" width="9.42578125" style="30" hidden="1" customWidth="1" outlineLevel="1"/>
    <col min="6" max="6" width="9.7109375" style="30" customWidth="1" collapsed="1"/>
    <col min="7" max="7" width="8.28515625" style="1" bestFit="1" customWidth="1"/>
    <col min="8" max="8" width="34.5703125" style="1" customWidth="1"/>
    <col min="9" max="9" width="3.5703125" style="1" bestFit="1" customWidth="1"/>
    <col min="10" max="10" width="6.28515625" style="1" bestFit="1" customWidth="1"/>
    <col min="11" max="11" width="7.140625" style="1" bestFit="1" customWidth="1"/>
    <col min="12" max="12" width="8.7109375" style="1" customWidth="1"/>
    <col min="13" max="13" width="7.7109375" style="1" customWidth="1"/>
    <col min="14" max="14" width="7.42578125" style="1" customWidth="1"/>
    <col min="15" max="15" width="7.140625" style="1" customWidth="1"/>
    <col min="16" max="16" width="7.85546875" style="1" customWidth="1"/>
    <col min="17" max="17" width="11" style="1" hidden="1" customWidth="1" outlineLevel="1"/>
    <col min="18" max="18" width="10" style="1" customWidth="1" collapsed="1"/>
    <col min="19" max="19" width="9.7109375" style="1" hidden="1" customWidth="1" outlineLevel="1"/>
    <col min="20" max="20" width="9.5703125" style="1" customWidth="1" collapsed="1"/>
    <col min="21" max="22" width="11.28515625" style="1" customWidth="1"/>
    <col min="23" max="23" width="9.5703125" style="1" customWidth="1"/>
    <col min="24" max="24" width="15.140625" style="1" customWidth="1"/>
    <col min="25" max="25" width="10.28515625" style="1" customWidth="1"/>
    <col min="26" max="26" width="14.42578125" style="1" customWidth="1"/>
    <col min="27" max="27" width="16.140625" style="1" bestFit="1" customWidth="1"/>
    <col min="28" max="28" width="9.5703125" style="1" bestFit="1" customWidth="1"/>
    <col min="29" max="29" width="2.42578125" style="1" customWidth="1" outlineLevel="1"/>
    <col min="30" max="30" width="16.7109375" style="1" customWidth="1" outlineLevel="1"/>
    <col min="31" max="31" width="13" style="1" customWidth="1" outlineLevel="1"/>
    <col min="32" max="32" width="8.140625" style="1" customWidth="1" outlineLevel="1"/>
    <col min="33" max="33" width="2" style="1" customWidth="1"/>
    <col min="34" max="34" width="12" style="1" customWidth="1" outlineLevel="1"/>
    <col min="35" max="35" width="14.7109375" style="1" customWidth="1" outlineLevel="1"/>
    <col min="36" max="36" width="12.7109375" style="1" customWidth="1" outlineLevel="1"/>
    <col min="37" max="37" width="8.42578125" style="1" customWidth="1" outlineLevel="1"/>
    <col min="38" max="38" width="12.7109375" style="1" customWidth="1" outlineLevel="1"/>
    <col min="39" max="39" width="11.7109375" style="1" customWidth="1" outlineLevel="1"/>
    <col min="40" max="40" width="9.42578125" style="1" customWidth="1" outlineLevel="1"/>
    <col min="41" max="41" width="14.140625" style="1" customWidth="1" outlineLevel="1"/>
    <col min="42" max="42" width="11.7109375" style="1" customWidth="1" outlineLevel="1"/>
    <col min="43" max="43" width="14.140625" style="1" customWidth="1" outlineLevel="1"/>
    <col min="44" max="44" width="11.28515625" style="1" customWidth="1" outlineLevel="1"/>
    <col min="45" max="45" width="17" style="1" customWidth="1" outlineLevel="1"/>
    <col min="46" max="46" width="13.140625" style="1" customWidth="1" outlineLevel="1"/>
    <col min="47" max="47" width="11.85546875" style="1" customWidth="1" outlineLevel="1"/>
    <col min="48" max="48" width="10.7109375" style="1" customWidth="1" outlineLevel="1"/>
    <col min="49" max="49" width="16" style="1" customWidth="1" outlineLevel="1"/>
    <col min="50" max="50" width="2.42578125" style="1" customWidth="1"/>
    <col min="51" max="51" width="13.28515625" style="1" customWidth="1" outlineLevel="1"/>
    <col min="52" max="52" width="13" style="1" customWidth="1" outlineLevel="1"/>
    <col min="53" max="53" width="9.42578125" style="1" customWidth="1" outlineLevel="1"/>
    <col min="54" max="54" width="8" style="1" customWidth="1" outlineLevel="1"/>
    <col min="55" max="55" width="4" style="1" customWidth="1"/>
    <col min="56" max="56" width="11.28515625" style="1" bestFit="1" customWidth="1"/>
    <col min="57" max="57" width="29.85546875" style="1" bestFit="1" customWidth="1"/>
    <col min="58" max="58" width="16.42578125" style="1" bestFit="1" customWidth="1"/>
    <col min="59" max="59" width="14" style="1" bestFit="1" customWidth="1"/>
    <col min="60" max="60" width="41.42578125" style="1" bestFit="1" customWidth="1"/>
    <col min="61" max="61" width="7" style="1" bestFit="1" customWidth="1"/>
    <col min="62" max="62" width="26" style="1" bestFit="1" customWidth="1"/>
    <col min="63" max="63" width="8.5703125" style="1" bestFit="1" customWidth="1"/>
    <col min="64" max="64" width="11.28515625" style="1" bestFit="1" customWidth="1"/>
    <col min="65" max="65" width="3.85546875" style="1" bestFit="1" customWidth="1"/>
    <col min="66" max="16368" width="9.140625" style="1"/>
    <col min="16369" max="16369" width="6.7109375" style="1" bestFit="1" customWidth="1"/>
    <col min="16370" max="16384" width="6.7109375" style="1" customWidth="1"/>
  </cols>
  <sheetData>
    <row r="1" spans="1:65" ht="14.25" customHeight="1" x14ac:dyDescent="0.2">
      <c r="T1" s="2">
        <v>0.2</v>
      </c>
      <c r="U1" s="2">
        <v>0.75</v>
      </c>
      <c r="X1" s="2">
        <v>1468816.0000000002</v>
      </c>
      <c r="Z1" s="3">
        <f>Z18+AA50</f>
        <v>1566174.5600000003</v>
      </c>
    </row>
    <row r="2" spans="1:65" ht="12" x14ac:dyDescent="0.2">
      <c r="J2" s="124"/>
      <c r="Q2" s="26"/>
      <c r="R2" s="25"/>
      <c r="S2" s="33"/>
      <c r="T2" s="33">
        <v>0.08</v>
      </c>
      <c r="U2" s="33">
        <v>0.3</v>
      </c>
      <c r="V2" s="33"/>
      <c r="W2" s="27"/>
      <c r="X2" s="27"/>
      <c r="Y2" s="27"/>
      <c r="Z2" s="28"/>
      <c r="AA2" s="28"/>
      <c r="AB2" s="38"/>
      <c r="AC2" s="43"/>
      <c r="AD2" s="42"/>
      <c r="AE2" s="42"/>
      <c r="AF2" s="42"/>
      <c r="AH2" s="54"/>
      <c r="AI2" s="61">
        <f>SUBTOTAL(9,AI5:AI47)</f>
        <v>2977758.6359679988</v>
      </c>
      <c r="AJ2" s="54"/>
      <c r="AK2" s="54"/>
      <c r="AL2" s="61">
        <f>SUBTOTAL(9,AL5:AL47)</f>
        <v>811717.24838400015</v>
      </c>
      <c r="AM2" s="54"/>
      <c r="AN2" s="54"/>
      <c r="AO2" s="61">
        <f>SUBTOTAL(9,AO5:AO47)</f>
        <v>5646392.3424000004</v>
      </c>
      <c r="AP2" s="54"/>
      <c r="AQ2" s="55"/>
      <c r="AR2" s="54"/>
      <c r="AS2" s="43"/>
      <c r="AT2" s="43"/>
      <c r="AU2" s="43"/>
      <c r="AV2" s="43"/>
      <c r="AW2" s="43"/>
      <c r="AY2" s="42"/>
      <c r="AZ2" s="42"/>
      <c r="BA2" s="42"/>
      <c r="BB2" s="42"/>
    </row>
    <row r="3" spans="1:65" ht="19.5" customHeight="1" x14ac:dyDescent="0.2">
      <c r="B3" s="34" t="e">
        <f>SUBTOTAL(9,B5:B47)</f>
        <v>#N/A</v>
      </c>
      <c r="H3" s="2"/>
      <c r="L3" s="18"/>
      <c r="N3" s="18"/>
      <c r="O3" s="134"/>
      <c r="P3" s="134"/>
      <c r="Q3" s="134"/>
      <c r="R3" s="31"/>
      <c r="T3" s="6"/>
      <c r="U3" s="6"/>
      <c r="V3" s="6"/>
      <c r="W3" s="212" t="s">
        <v>285</v>
      </c>
      <c r="X3" s="213"/>
      <c r="Y3" s="213"/>
      <c r="Z3" s="2">
        <f>SUBTOTAL(9,Z5:Z47)</f>
        <v>9523544.6399999987</v>
      </c>
      <c r="AB3" s="19">
        <f>SUBTOTAL(9,AB5:AB47)</f>
        <v>89748.895360000039</v>
      </c>
      <c r="AC3" s="43"/>
      <c r="AD3" s="206" t="s">
        <v>59</v>
      </c>
      <c r="AE3" s="208" t="s">
        <v>58</v>
      </c>
      <c r="AF3" s="210" t="s">
        <v>279</v>
      </c>
      <c r="AH3" s="113"/>
      <c r="AI3" s="113" t="s">
        <v>51</v>
      </c>
      <c r="AJ3" s="113"/>
      <c r="AK3" s="114"/>
      <c r="AL3" s="114" t="s">
        <v>57</v>
      </c>
      <c r="AM3" s="114"/>
      <c r="AN3" s="115"/>
      <c r="AO3" s="115" t="s">
        <v>50</v>
      </c>
      <c r="AP3" s="115"/>
      <c r="AQ3" s="116">
        <f>SUBTOTAL(9,AQ5:AQ47)</f>
        <v>9435868.2267520037</v>
      </c>
      <c r="AR3" s="117"/>
      <c r="AS3" s="118"/>
      <c r="AT3" s="119"/>
      <c r="AU3" s="120"/>
      <c r="AV3" s="120"/>
      <c r="AW3" s="201" t="s">
        <v>70</v>
      </c>
      <c r="AY3" s="166"/>
      <c r="AZ3" s="166"/>
      <c r="BA3" s="166"/>
      <c r="BB3" s="166"/>
    </row>
    <row r="4" spans="1:65" ht="40.5" customHeight="1" thickBot="1" x14ac:dyDescent="0.25">
      <c r="A4" s="48" t="s">
        <v>62</v>
      </c>
      <c r="B4" s="49" t="s">
        <v>85</v>
      </c>
      <c r="C4" s="48" t="s">
        <v>63</v>
      </c>
      <c r="D4" s="48" t="s">
        <v>72</v>
      </c>
      <c r="E4" s="48" t="s">
        <v>73</v>
      </c>
      <c r="F4" s="15" t="s">
        <v>84</v>
      </c>
      <c r="G4" s="17" t="s">
        <v>47</v>
      </c>
      <c r="H4" s="17" t="s">
        <v>46</v>
      </c>
      <c r="I4" s="15" t="s">
        <v>45</v>
      </c>
      <c r="J4" s="15" t="s">
        <v>44</v>
      </c>
      <c r="K4" s="15" t="s">
        <v>43</v>
      </c>
      <c r="L4" s="15" t="s">
        <v>42</v>
      </c>
      <c r="M4" s="16" t="s">
        <v>41</v>
      </c>
      <c r="N4" s="16" t="s">
        <v>40</v>
      </c>
      <c r="O4" s="15" t="s">
        <v>67</v>
      </c>
      <c r="P4" s="15" t="s">
        <v>245</v>
      </c>
      <c r="Q4" s="15" t="s">
        <v>39</v>
      </c>
      <c r="R4" s="15" t="s">
        <v>38</v>
      </c>
      <c r="S4" s="15" t="s">
        <v>37</v>
      </c>
      <c r="T4" s="15" t="s">
        <v>36</v>
      </c>
      <c r="U4" s="15" t="s">
        <v>123</v>
      </c>
      <c r="V4" s="182" t="s">
        <v>286</v>
      </c>
      <c r="W4" s="35" t="s">
        <v>66</v>
      </c>
      <c r="X4" s="37" t="s">
        <v>65</v>
      </c>
      <c r="Y4" s="37" t="s">
        <v>280</v>
      </c>
      <c r="Z4" s="14" t="s">
        <v>35</v>
      </c>
      <c r="AA4" s="24" t="s">
        <v>34</v>
      </c>
      <c r="AB4" s="24" t="s">
        <v>52</v>
      </c>
      <c r="AC4" s="53"/>
      <c r="AD4" s="207"/>
      <c r="AE4" s="209"/>
      <c r="AF4" s="211"/>
      <c r="AH4" s="62" t="s">
        <v>33</v>
      </c>
      <c r="AI4" s="62" t="s">
        <v>32</v>
      </c>
      <c r="AJ4" s="62" t="s">
        <v>31</v>
      </c>
      <c r="AK4" s="63" t="s">
        <v>33</v>
      </c>
      <c r="AL4" s="63" t="s">
        <v>32</v>
      </c>
      <c r="AM4" s="63" t="s">
        <v>31</v>
      </c>
      <c r="AN4" s="64" t="s">
        <v>33</v>
      </c>
      <c r="AO4" s="64" t="s">
        <v>32</v>
      </c>
      <c r="AP4" s="64" t="s">
        <v>31</v>
      </c>
      <c r="AQ4" s="56" t="s">
        <v>49</v>
      </c>
      <c r="AR4" s="57" t="s">
        <v>48</v>
      </c>
      <c r="AS4" s="111" t="s">
        <v>35</v>
      </c>
      <c r="AT4" s="112" t="s">
        <v>105</v>
      </c>
      <c r="AU4" s="110" t="s">
        <v>68</v>
      </c>
      <c r="AV4" s="110" t="s">
        <v>69</v>
      </c>
      <c r="AW4" s="202"/>
      <c r="AY4" s="149" t="s">
        <v>282</v>
      </c>
      <c r="AZ4" s="149" t="s">
        <v>283</v>
      </c>
      <c r="BA4" s="149" t="s">
        <v>281</v>
      </c>
      <c r="BB4" s="149" t="s">
        <v>284</v>
      </c>
      <c r="BD4" s="15" t="s">
        <v>109</v>
      </c>
      <c r="BE4" s="15" t="s">
        <v>110</v>
      </c>
      <c r="BF4" s="15" t="s">
        <v>107</v>
      </c>
      <c r="BG4" s="15" t="s">
        <v>111</v>
      </c>
      <c r="BH4" s="15" t="s">
        <v>112</v>
      </c>
      <c r="BI4" s="15" t="s">
        <v>113</v>
      </c>
      <c r="BJ4" s="15" t="s">
        <v>114</v>
      </c>
      <c r="BK4" s="15" t="s">
        <v>109</v>
      </c>
      <c r="BL4" s="15" t="s">
        <v>115</v>
      </c>
      <c r="BM4" s="15" t="s">
        <v>116</v>
      </c>
    </row>
    <row r="5" spans="1:65" ht="14.25" customHeight="1" thickBot="1" x14ac:dyDescent="0.25">
      <c r="A5" s="50">
        <v>3.2280000000000003E-2</v>
      </c>
      <c r="B5" s="27">
        <f>VLOOKUP(F5,Planilha3!D:F,3,0)</f>
        <v>1663.6932576133315</v>
      </c>
      <c r="C5" s="47">
        <f>B5/A5</f>
        <v>51539.444163981767</v>
      </c>
      <c r="D5" s="47" t="s">
        <v>82</v>
      </c>
      <c r="E5" s="47" t="s">
        <v>83</v>
      </c>
      <c r="F5" s="20">
        <v>904113</v>
      </c>
      <c r="G5" s="20">
        <v>1052772</v>
      </c>
      <c r="H5" s="11" t="s">
        <v>30</v>
      </c>
      <c r="I5" s="20">
        <v>12</v>
      </c>
      <c r="J5" s="20">
        <v>336</v>
      </c>
      <c r="K5" s="123">
        <f t="shared" ref="K5:K14" si="0">J5*24</f>
        <v>8064</v>
      </c>
      <c r="L5" s="195">
        <f>K5*85</f>
        <v>685440</v>
      </c>
      <c r="M5" s="178">
        <f t="shared" ref="M5:M47" si="1">L5/J5</f>
        <v>2040</v>
      </c>
      <c r="N5" s="84">
        <f t="shared" ref="N5:N30" si="2">L5/K5</f>
        <v>85</v>
      </c>
      <c r="O5" s="148">
        <v>33.159999999999997</v>
      </c>
      <c r="P5" s="135">
        <f>O5/I5</f>
        <v>2.7633333333333332</v>
      </c>
      <c r="Q5" s="13">
        <f t="shared" ref="Q5:Q47" si="3">R5*I5</f>
        <v>0.60000000000000009</v>
      </c>
      <c r="R5" s="13">
        <v>0.05</v>
      </c>
      <c r="S5" s="74">
        <f t="shared" ref="S5:S47" si="4">T5*I5</f>
        <v>3.5999999999999996</v>
      </c>
      <c r="T5" s="74">
        <v>0.3</v>
      </c>
      <c r="U5" s="121">
        <f>SUM(R5,T5)</f>
        <v>0.35</v>
      </c>
      <c r="V5" s="121">
        <v>0.35</v>
      </c>
      <c r="W5" s="157">
        <f>VLOOKUP(F5,'[1]Proposta HNK para Tenda'!$F:$T,15,0)</f>
        <v>3.2900000000000005</v>
      </c>
      <c r="X5" s="157">
        <f>VLOOKUP(F5,'[1]Proposta HNK para Tenda'!$F:$U,16,0)</f>
        <v>3.0900000000000003</v>
      </c>
      <c r="Y5" s="157">
        <v>2.79</v>
      </c>
      <c r="Z5" s="45">
        <f t="shared" ref="Z5:Z47" si="5">L5*(Q5+S5)</f>
        <v>2878847.9999999995</v>
      </c>
      <c r="AA5" s="8">
        <f t="shared" ref="AA5:AA47" si="6">L5*O5</f>
        <v>22729190.399999999</v>
      </c>
      <c r="AB5" s="32">
        <f>L5*12*0.269/100</f>
        <v>22126.003200000003</v>
      </c>
      <c r="AC5" s="43"/>
      <c r="AD5" s="44">
        <f t="shared" ref="AD5:AD47" si="7">SUM(AJ5,AM5,AP5)</f>
        <v>0.36812650000000002</v>
      </c>
      <c r="AE5" s="39">
        <f t="shared" ref="AE5:AE47" si="8">SUM(R5,T5)</f>
        <v>0.35</v>
      </c>
      <c r="AF5" s="39">
        <f>AD5-AE5</f>
        <v>1.8126500000000045E-2</v>
      </c>
      <c r="AH5" s="175">
        <v>19.98</v>
      </c>
      <c r="AI5" s="175">
        <f t="shared" ref="AI5:AI47" si="9">AH5*AB5</f>
        <v>442077.54393600009</v>
      </c>
      <c r="AJ5" s="175">
        <f t="shared" ref="AJ5:AJ47" si="10">AI5/L5/I5</f>
        <v>5.3746200000000015E-2</v>
      </c>
      <c r="AK5" s="175">
        <v>23.87</v>
      </c>
      <c r="AL5" s="175">
        <f t="shared" ref="AL5:AL47" si="11">AK5*AB5</f>
        <v>528147.69638400013</v>
      </c>
      <c r="AM5" s="175">
        <f t="shared" ref="AM5:AM47" si="12">AL5/L5/I5</f>
        <v>6.4210300000000012E-2</v>
      </c>
      <c r="AN5" s="174">
        <v>93</v>
      </c>
      <c r="AO5" s="174">
        <f t="shared" ref="AO5:AO47" si="13">AN5*AB5</f>
        <v>2057718.2976000002</v>
      </c>
      <c r="AP5" s="174">
        <f t="shared" ref="AP5:AP47" si="14">AO5/L5/I5</f>
        <v>0.25017</v>
      </c>
      <c r="AQ5" s="7">
        <f t="shared" ref="AQ5:AR47" si="15">SUM(AI5,AL5,AO5)</f>
        <v>3027943.5379200005</v>
      </c>
      <c r="AR5" s="7">
        <f t="shared" si="15"/>
        <v>0.36812650000000002</v>
      </c>
      <c r="AS5" s="40">
        <f t="shared" ref="AS5:AS47" si="16">Z5</f>
        <v>2878847.9999999995</v>
      </c>
      <c r="AT5" s="40">
        <f>AQ5-AS5</f>
        <v>149095.53792000096</v>
      </c>
      <c r="AU5" s="7">
        <f t="shared" ref="AU5:AU47" si="17">O5/I5</f>
        <v>2.7633333333333332</v>
      </c>
      <c r="AV5" s="40">
        <f t="shared" ref="AV5:AV47" si="18">AU5-R5-T5</f>
        <v>2.4133333333333336</v>
      </c>
      <c r="AW5" s="41">
        <f t="shared" ref="AW5:AW47" si="19">(X5-AV5)/X5</f>
        <v>0.21898597626752966</v>
      </c>
      <c r="AY5" s="155">
        <f>X5*50%</f>
        <v>1.5450000000000002</v>
      </c>
      <c r="AZ5" s="156">
        <f>Y5*50%</f>
        <v>1.395</v>
      </c>
      <c r="BA5" s="158">
        <f>AY5+AZ5</f>
        <v>2.9400000000000004</v>
      </c>
      <c r="BB5" s="162">
        <f>(X5-Y5)/X5</f>
        <v>9.7087378640776781E-2</v>
      </c>
      <c r="BD5" s="86" t="s">
        <v>106</v>
      </c>
      <c r="BE5" s="86" t="s">
        <v>263</v>
      </c>
      <c r="BF5" s="87" t="s">
        <v>264</v>
      </c>
      <c r="BG5" s="87">
        <v>387000650117</v>
      </c>
      <c r="BH5" s="86" t="s">
        <v>265</v>
      </c>
      <c r="BI5" s="86">
        <v>2222</v>
      </c>
      <c r="BJ5" s="86" t="s">
        <v>266</v>
      </c>
      <c r="BK5" s="86">
        <v>13312250</v>
      </c>
      <c r="BL5" s="86" t="s">
        <v>267</v>
      </c>
      <c r="BM5" s="86" t="s">
        <v>108</v>
      </c>
    </row>
    <row r="6" spans="1:65" ht="14.25" customHeight="1" thickBot="1" x14ac:dyDescent="0.25">
      <c r="A6" s="50">
        <v>4.2000000000000003E-2</v>
      </c>
      <c r="B6" s="27">
        <f>VLOOKUP(F6,Planilha3!D:F,3,0)</f>
        <v>1031.9337719008988</v>
      </c>
      <c r="C6" s="47">
        <f t="shared" ref="C6:C47" si="20">B6/A6</f>
        <v>24569.85171192616</v>
      </c>
      <c r="D6" s="47" t="s">
        <v>82</v>
      </c>
      <c r="E6" s="47" t="s">
        <v>83</v>
      </c>
      <c r="F6" s="20">
        <v>904952</v>
      </c>
      <c r="G6" s="20">
        <v>1193288</v>
      </c>
      <c r="H6" s="11" t="s">
        <v>53</v>
      </c>
      <c r="I6" s="20">
        <v>12</v>
      </c>
      <c r="J6" s="20">
        <v>280</v>
      </c>
      <c r="K6" s="123">
        <f t="shared" si="0"/>
        <v>6720</v>
      </c>
      <c r="L6" s="195">
        <v>302400</v>
      </c>
      <c r="M6" s="178">
        <f t="shared" si="1"/>
        <v>1080</v>
      </c>
      <c r="N6" s="84">
        <f t="shared" si="2"/>
        <v>45</v>
      </c>
      <c r="O6" s="148">
        <v>39.21</v>
      </c>
      <c r="P6" s="135">
        <f t="shared" ref="P6:P47" si="21">O6/I6</f>
        <v>3.2675000000000001</v>
      </c>
      <c r="Q6" s="13">
        <f t="shared" si="3"/>
        <v>1.2000000000000002</v>
      </c>
      <c r="R6" s="13">
        <v>0.1</v>
      </c>
      <c r="S6" s="74">
        <f t="shared" si="4"/>
        <v>3.24</v>
      </c>
      <c r="T6" s="74">
        <v>0.27</v>
      </c>
      <c r="U6" s="121">
        <f t="shared" ref="U6:U47" si="22">SUM(R6,T6)</f>
        <v>0.37</v>
      </c>
      <c r="V6" s="121">
        <v>0.37</v>
      </c>
      <c r="W6" s="157">
        <f>VLOOKUP(F6,'[1]Proposta HNK para Tenda'!$F:$T,15,0)</f>
        <v>3.89</v>
      </c>
      <c r="X6" s="157">
        <f>VLOOKUP(F6,'[1]Proposta HNK para Tenda'!$F:$U,16,0)</f>
        <v>3.6900000000000004</v>
      </c>
      <c r="Y6" s="157">
        <v>3.29</v>
      </c>
      <c r="Z6" s="45">
        <f t="shared" si="5"/>
        <v>1342656.0000000002</v>
      </c>
      <c r="AA6" s="8">
        <f t="shared" si="6"/>
        <v>11857104</v>
      </c>
      <c r="AB6" s="32">
        <f>L6*12*0.35/100</f>
        <v>12700.8</v>
      </c>
      <c r="AC6" s="43"/>
      <c r="AD6" s="44">
        <f t="shared" si="7"/>
        <v>0.378</v>
      </c>
      <c r="AE6" s="39">
        <f t="shared" si="8"/>
        <v>0.37</v>
      </c>
      <c r="AF6" s="39">
        <f t="shared" ref="AF6:AF47" si="23">AD6-AE6</f>
        <v>8.0000000000000071E-3</v>
      </c>
      <c r="AH6" s="175">
        <v>21.4</v>
      </c>
      <c r="AI6" s="175">
        <f t="shared" si="9"/>
        <v>271797.12</v>
      </c>
      <c r="AJ6" s="175">
        <f t="shared" si="10"/>
        <v>7.4899999999999994E-2</v>
      </c>
      <c r="AK6" s="175">
        <v>21.6</v>
      </c>
      <c r="AL6" s="175">
        <f t="shared" si="11"/>
        <v>274337.28000000003</v>
      </c>
      <c r="AM6" s="175">
        <f t="shared" si="12"/>
        <v>7.5600000000000014E-2</v>
      </c>
      <c r="AN6" s="174">
        <v>65</v>
      </c>
      <c r="AO6" s="174">
        <f t="shared" si="13"/>
        <v>825552</v>
      </c>
      <c r="AP6" s="174">
        <f t="shared" si="14"/>
        <v>0.22750000000000001</v>
      </c>
      <c r="AQ6" s="7">
        <f t="shared" si="15"/>
        <v>1371686.4</v>
      </c>
      <c r="AR6" s="7">
        <f t="shared" si="15"/>
        <v>0.378</v>
      </c>
      <c r="AS6" s="40">
        <f t="shared" si="16"/>
        <v>1342656.0000000002</v>
      </c>
      <c r="AT6" s="40">
        <f t="shared" ref="AT6:AT47" si="24">AQ6-AS6</f>
        <v>29030.399999999674</v>
      </c>
      <c r="AU6" s="7">
        <f t="shared" si="17"/>
        <v>3.2675000000000001</v>
      </c>
      <c r="AV6" s="40">
        <f t="shared" si="18"/>
        <v>2.8975</v>
      </c>
      <c r="AW6" s="41">
        <f t="shared" si="19"/>
        <v>0.21476964769647705</v>
      </c>
      <c r="AY6" s="153">
        <f>X6*50%</f>
        <v>1.8450000000000002</v>
      </c>
      <c r="AZ6" s="154">
        <f>Y6*50%</f>
        <v>1.645</v>
      </c>
      <c r="BA6" s="159">
        <f t="shared" ref="BA6:BA47" si="25">AY6+AZ6</f>
        <v>3.49</v>
      </c>
      <c r="BB6" s="163">
        <f>(X6-Y6)/X6</f>
        <v>0.1084010840108402</v>
      </c>
      <c r="BD6" s="86" t="s">
        <v>121</v>
      </c>
      <c r="BE6" s="86" t="s">
        <v>263</v>
      </c>
      <c r="BF6" s="87" t="s">
        <v>268</v>
      </c>
      <c r="BG6" s="87">
        <v>392558326113</v>
      </c>
      <c r="BH6" s="86" t="s">
        <v>269</v>
      </c>
      <c r="BI6" s="86">
        <v>2911</v>
      </c>
      <c r="BJ6" s="86" t="s">
        <v>270</v>
      </c>
      <c r="BK6" s="86">
        <v>12321150</v>
      </c>
      <c r="BL6" s="86" t="s">
        <v>271</v>
      </c>
      <c r="BM6" s="86" t="s">
        <v>108</v>
      </c>
    </row>
    <row r="7" spans="1:65" ht="14.25" customHeight="1" thickBot="1" x14ac:dyDescent="0.25">
      <c r="A7" s="51">
        <v>7.1999999999999995E-2</v>
      </c>
      <c r="B7" s="27">
        <f>VLOOKUP(F7,Planilha3!D:F,3,0)</f>
        <v>40.230639601668081</v>
      </c>
      <c r="C7" s="47">
        <f t="shared" si="20"/>
        <v>558.7588833565012</v>
      </c>
      <c r="D7" s="47" t="s">
        <v>82</v>
      </c>
      <c r="E7" s="47" t="s">
        <v>83</v>
      </c>
      <c r="F7" s="20">
        <v>905052</v>
      </c>
      <c r="G7" s="20">
        <v>1207152</v>
      </c>
      <c r="H7" s="11" t="s">
        <v>122</v>
      </c>
      <c r="I7" s="20">
        <v>12</v>
      </c>
      <c r="J7" s="20">
        <v>175</v>
      </c>
      <c r="K7" s="123">
        <f t="shared" si="0"/>
        <v>4200</v>
      </c>
      <c r="L7" s="195">
        <v>8400</v>
      </c>
      <c r="M7" s="178">
        <f t="shared" si="1"/>
        <v>48</v>
      </c>
      <c r="N7" s="84">
        <f t="shared" si="2"/>
        <v>2</v>
      </c>
      <c r="O7" s="148">
        <v>47.28</v>
      </c>
      <c r="P7" s="135">
        <f t="shared" si="21"/>
        <v>3.94</v>
      </c>
      <c r="Q7" s="13">
        <f t="shared" si="3"/>
        <v>0.60000000000000009</v>
      </c>
      <c r="R7" s="13">
        <v>0.05</v>
      </c>
      <c r="S7" s="74">
        <f t="shared" si="4"/>
        <v>9</v>
      </c>
      <c r="T7" s="74">
        <v>0.75</v>
      </c>
      <c r="U7" s="121">
        <f t="shared" si="22"/>
        <v>0.8</v>
      </c>
      <c r="V7" s="183">
        <v>0.8</v>
      </c>
      <c r="W7" s="36">
        <f>VLOOKUP(F7,'[1]Proposta HNK para Tenda'!$F:$T,15,0)</f>
        <v>4.6900000000000004</v>
      </c>
      <c r="X7" s="36">
        <f>VLOOKUP(F7,'[1]Proposta HNK para Tenda'!$F:$U,16,0)</f>
        <v>4.49</v>
      </c>
      <c r="Y7" s="36"/>
      <c r="Z7" s="45">
        <f t="shared" si="5"/>
        <v>80640</v>
      </c>
      <c r="AA7" s="8">
        <f t="shared" si="6"/>
        <v>397152</v>
      </c>
      <c r="AB7" s="32">
        <f>L7*12*0.355/100</f>
        <v>357.84</v>
      </c>
      <c r="AC7" s="43"/>
      <c r="AD7" s="44">
        <f t="shared" si="7"/>
        <v>0.16624649999999999</v>
      </c>
      <c r="AE7" s="39">
        <f t="shared" si="8"/>
        <v>0.8</v>
      </c>
      <c r="AF7" s="39">
        <f t="shared" si="23"/>
        <v>-0.63375350000000008</v>
      </c>
      <c r="AH7" s="175">
        <v>21.03</v>
      </c>
      <c r="AI7" s="175">
        <f t="shared" si="9"/>
        <v>7525.3751999999995</v>
      </c>
      <c r="AJ7" s="175">
        <f t="shared" si="10"/>
        <v>7.4656500000000001E-2</v>
      </c>
      <c r="AK7" s="175">
        <v>25.8</v>
      </c>
      <c r="AL7" s="175">
        <f t="shared" si="11"/>
        <v>9232.271999999999</v>
      </c>
      <c r="AM7" s="175">
        <f t="shared" si="12"/>
        <v>9.1589999999999991E-2</v>
      </c>
      <c r="AN7" s="7">
        <v>0</v>
      </c>
      <c r="AO7" s="137">
        <f t="shared" si="13"/>
        <v>0</v>
      </c>
      <c r="AP7" s="137">
        <f t="shared" si="14"/>
        <v>0</v>
      </c>
      <c r="AQ7" s="7">
        <f t="shared" si="15"/>
        <v>16757.647199999999</v>
      </c>
      <c r="AR7" s="7">
        <f t="shared" si="15"/>
        <v>0.16624649999999999</v>
      </c>
      <c r="AS7" s="40">
        <f t="shared" si="16"/>
        <v>80640</v>
      </c>
      <c r="AT7" s="40">
        <f t="shared" si="24"/>
        <v>-63882.352800000001</v>
      </c>
      <c r="AU7" s="7">
        <f t="shared" si="17"/>
        <v>3.94</v>
      </c>
      <c r="AV7" s="40">
        <f t="shared" si="18"/>
        <v>3.14</v>
      </c>
      <c r="AW7" s="41">
        <f t="shared" si="19"/>
        <v>0.30066815144766146</v>
      </c>
      <c r="AY7" s="150">
        <f t="shared" ref="AY7:AY18" si="26">X7*100%</f>
        <v>4.49</v>
      </c>
      <c r="AZ7" s="151">
        <f t="shared" ref="AZ7:AZ47" si="27">Y7*50%</f>
        <v>0</v>
      </c>
      <c r="BA7" s="160">
        <f t="shared" si="25"/>
        <v>4.49</v>
      </c>
      <c r="BB7" s="164"/>
      <c r="BD7" s="86" t="s">
        <v>106</v>
      </c>
      <c r="BE7" s="86" t="s">
        <v>263</v>
      </c>
      <c r="BF7" s="87" t="s">
        <v>264</v>
      </c>
      <c r="BG7" s="87">
        <v>387000650117</v>
      </c>
      <c r="BH7" s="86" t="s">
        <v>265</v>
      </c>
      <c r="BI7" s="86">
        <v>2222</v>
      </c>
      <c r="BJ7" s="86" t="s">
        <v>266</v>
      </c>
      <c r="BK7" s="86">
        <v>13312250</v>
      </c>
      <c r="BL7" s="86" t="s">
        <v>267</v>
      </c>
      <c r="BM7" s="86" t="s">
        <v>108</v>
      </c>
    </row>
    <row r="8" spans="1:65" ht="14.25" customHeight="1" thickBot="1" x14ac:dyDescent="0.25">
      <c r="A8" s="51">
        <f>0.275*12/100</f>
        <v>3.3000000000000002E-2</v>
      </c>
      <c r="B8" s="27" t="e">
        <f>VLOOKUP(F8,Planilha3!D:F,3,0)</f>
        <v>#N/A</v>
      </c>
      <c r="C8" s="47" t="e">
        <f t="shared" si="20"/>
        <v>#N/A</v>
      </c>
      <c r="D8" s="47" t="s">
        <v>82</v>
      </c>
      <c r="E8" s="47" t="s">
        <v>83</v>
      </c>
      <c r="F8" s="186">
        <v>904632</v>
      </c>
      <c r="G8" s="186">
        <v>1155684</v>
      </c>
      <c r="H8" s="187" t="s">
        <v>247</v>
      </c>
      <c r="I8" s="186">
        <v>12</v>
      </c>
      <c r="J8" s="186">
        <v>364</v>
      </c>
      <c r="K8" s="188">
        <f t="shared" si="0"/>
        <v>8736</v>
      </c>
      <c r="L8" s="195">
        <f>J8*68</f>
        <v>24752</v>
      </c>
      <c r="M8" s="178">
        <f t="shared" si="1"/>
        <v>68</v>
      </c>
      <c r="N8" s="84">
        <f t="shared" si="2"/>
        <v>2.8333333333333335</v>
      </c>
      <c r="O8" s="148">
        <v>39.26</v>
      </c>
      <c r="P8" s="135">
        <f t="shared" si="21"/>
        <v>3.2716666666666665</v>
      </c>
      <c r="Q8" s="13">
        <f t="shared" si="3"/>
        <v>1.2000000000000002</v>
      </c>
      <c r="R8" s="13">
        <v>0.1</v>
      </c>
      <c r="S8" s="74">
        <f t="shared" si="4"/>
        <v>1.56</v>
      </c>
      <c r="T8" s="74">
        <v>0.13</v>
      </c>
      <c r="U8" s="121">
        <f t="shared" si="22"/>
        <v>0.23</v>
      </c>
      <c r="V8" s="121">
        <v>0.23</v>
      </c>
      <c r="W8" s="36">
        <v>3.99</v>
      </c>
      <c r="X8" s="36">
        <v>3.49</v>
      </c>
      <c r="Y8" s="36"/>
      <c r="Z8" s="45">
        <f t="shared" si="5"/>
        <v>68315.520000000004</v>
      </c>
      <c r="AA8" s="8">
        <f t="shared" si="6"/>
        <v>971763.5199999999</v>
      </c>
      <c r="AB8" s="32">
        <f>L8*12*0.275/100</f>
        <v>816.81600000000003</v>
      </c>
      <c r="AC8" s="43"/>
      <c r="AD8" s="44">
        <f t="shared" si="7"/>
        <v>0.23773750000000005</v>
      </c>
      <c r="AE8" s="39">
        <f t="shared" si="8"/>
        <v>0.23</v>
      </c>
      <c r="AF8" s="39">
        <f t="shared" si="23"/>
        <v>7.737500000000036E-3</v>
      </c>
      <c r="AH8" s="175">
        <v>86.45</v>
      </c>
      <c r="AI8" s="175">
        <f t="shared" si="9"/>
        <v>70613.743200000012</v>
      </c>
      <c r="AJ8" s="175">
        <f t="shared" si="10"/>
        <v>0.23773750000000005</v>
      </c>
      <c r="AK8" s="137">
        <v>0</v>
      </c>
      <c r="AL8" s="137">
        <f t="shared" si="11"/>
        <v>0</v>
      </c>
      <c r="AM8" s="137">
        <f t="shared" si="12"/>
        <v>0</v>
      </c>
      <c r="AN8" s="7">
        <v>0</v>
      </c>
      <c r="AO8" s="137">
        <f t="shared" si="13"/>
        <v>0</v>
      </c>
      <c r="AP8" s="137">
        <f t="shared" si="14"/>
        <v>0</v>
      </c>
      <c r="AQ8" s="7">
        <f t="shared" si="15"/>
        <v>70613.743200000012</v>
      </c>
      <c r="AR8" s="7">
        <f t="shared" si="15"/>
        <v>0.23773750000000005</v>
      </c>
      <c r="AS8" s="40">
        <f t="shared" si="16"/>
        <v>68315.520000000004</v>
      </c>
      <c r="AT8" s="40">
        <f t="shared" si="24"/>
        <v>2298.2232000000076</v>
      </c>
      <c r="AU8" s="7">
        <f t="shared" si="17"/>
        <v>3.2716666666666665</v>
      </c>
      <c r="AV8" s="40">
        <f t="shared" si="18"/>
        <v>3.0416666666666665</v>
      </c>
      <c r="AW8" s="41">
        <f t="shared" si="19"/>
        <v>0.12846227316141365</v>
      </c>
      <c r="AY8" s="150">
        <f t="shared" si="26"/>
        <v>3.49</v>
      </c>
      <c r="AZ8" s="151">
        <f t="shared" si="27"/>
        <v>0</v>
      </c>
      <c r="BA8" s="160">
        <f t="shared" si="25"/>
        <v>3.49</v>
      </c>
      <c r="BB8" s="164"/>
      <c r="BD8" s="86" t="s">
        <v>106</v>
      </c>
      <c r="BE8" s="86" t="s">
        <v>263</v>
      </c>
      <c r="BF8" s="87" t="s">
        <v>264</v>
      </c>
      <c r="BG8" s="87">
        <v>387000650117</v>
      </c>
      <c r="BH8" s="86" t="s">
        <v>265</v>
      </c>
      <c r="BI8" s="86">
        <v>2222</v>
      </c>
      <c r="BJ8" s="86" t="s">
        <v>266</v>
      </c>
      <c r="BK8" s="86">
        <v>13312250</v>
      </c>
      <c r="BL8" s="86" t="s">
        <v>267</v>
      </c>
      <c r="BM8" s="86" t="s">
        <v>108</v>
      </c>
    </row>
    <row r="9" spans="1:65" ht="14.25" customHeight="1" thickBot="1" x14ac:dyDescent="0.25">
      <c r="A9" s="51">
        <f>0.275*12/100</f>
        <v>3.3000000000000002E-2</v>
      </c>
      <c r="B9" s="27">
        <f>VLOOKUP(F9,Planilha3!D:F,3,0)</f>
        <v>7.6058014710560764</v>
      </c>
      <c r="C9" s="47">
        <f t="shared" si="20"/>
        <v>230.47883245624473</v>
      </c>
      <c r="D9" s="47" t="s">
        <v>82</v>
      </c>
      <c r="E9" s="47" t="s">
        <v>83</v>
      </c>
      <c r="F9" s="186">
        <v>904631</v>
      </c>
      <c r="G9" s="186">
        <v>1160860</v>
      </c>
      <c r="H9" s="187" t="s">
        <v>29</v>
      </c>
      <c r="I9" s="186">
        <v>12</v>
      </c>
      <c r="J9" s="186">
        <v>196</v>
      </c>
      <c r="K9" s="188">
        <f t="shared" si="0"/>
        <v>4704</v>
      </c>
      <c r="L9" s="125">
        <v>0</v>
      </c>
      <c r="M9" s="179">
        <f t="shared" si="1"/>
        <v>0</v>
      </c>
      <c r="N9" s="84">
        <f t="shared" si="2"/>
        <v>0</v>
      </c>
      <c r="O9" s="148">
        <v>47.13</v>
      </c>
      <c r="P9" s="135">
        <f t="shared" si="21"/>
        <v>3.9275000000000002</v>
      </c>
      <c r="Q9" s="9">
        <f t="shared" si="3"/>
        <v>0</v>
      </c>
      <c r="R9" s="9">
        <v>0</v>
      </c>
      <c r="S9" s="29">
        <f t="shared" si="4"/>
        <v>0</v>
      </c>
      <c r="T9" s="29">
        <v>0</v>
      </c>
      <c r="U9" s="121">
        <f t="shared" si="22"/>
        <v>0</v>
      </c>
      <c r="V9" s="121">
        <v>0</v>
      </c>
      <c r="W9" s="36">
        <f>VLOOKUP(F9,'[1]Proposta HNK para Tenda'!$F:$T,15,0)</f>
        <v>4.7900000000000009</v>
      </c>
      <c r="X9" s="36">
        <f>VLOOKUP(F9,'[1]Proposta HNK para Tenda'!$F:$U,16,0)</f>
        <v>4.7900000000000009</v>
      </c>
      <c r="Y9" s="36"/>
      <c r="Z9" s="45">
        <f t="shared" si="5"/>
        <v>0</v>
      </c>
      <c r="AA9" s="8">
        <f t="shared" si="6"/>
        <v>0</v>
      </c>
      <c r="AB9" s="32">
        <f>L9*12*0.275/100</f>
        <v>0</v>
      </c>
      <c r="AC9" s="43"/>
      <c r="AD9" s="44" t="e">
        <f t="shared" si="7"/>
        <v>#DIV/0!</v>
      </c>
      <c r="AE9" s="39">
        <f t="shared" si="8"/>
        <v>0</v>
      </c>
      <c r="AF9" s="39" t="e">
        <f t="shared" si="23"/>
        <v>#DIV/0!</v>
      </c>
      <c r="AH9" s="137">
        <v>0</v>
      </c>
      <c r="AI9" s="7">
        <f t="shared" si="9"/>
        <v>0</v>
      </c>
      <c r="AJ9" s="7" t="e">
        <f t="shared" si="10"/>
        <v>#DIV/0!</v>
      </c>
      <c r="AK9" s="7"/>
      <c r="AL9" s="7">
        <f t="shared" si="11"/>
        <v>0</v>
      </c>
      <c r="AM9" s="7" t="e">
        <f t="shared" si="12"/>
        <v>#DIV/0!</v>
      </c>
      <c r="AN9" s="7">
        <v>0</v>
      </c>
      <c r="AO9" s="137">
        <f t="shared" si="13"/>
        <v>0</v>
      </c>
      <c r="AP9" s="137" t="e">
        <f t="shared" si="14"/>
        <v>#DIV/0!</v>
      </c>
      <c r="AQ9" s="7">
        <f t="shared" si="15"/>
        <v>0</v>
      </c>
      <c r="AR9" s="7" t="e">
        <f t="shared" si="15"/>
        <v>#DIV/0!</v>
      </c>
      <c r="AS9" s="40">
        <f t="shared" si="16"/>
        <v>0</v>
      </c>
      <c r="AT9" s="40">
        <f t="shared" si="24"/>
        <v>0</v>
      </c>
      <c r="AU9" s="7">
        <f t="shared" si="17"/>
        <v>3.9275000000000002</v>
      </c>
      <c r="AV9" s="40">
        <f t="shared" si="18"/>
        <v>3.9275000000000002</v>
      </c>
      <c r="AW9" s="41">
        <f t="shared" si="19"/>
        <v>0.18006263048016713</v>
      </c>
      <c r="AY9" s="150">
        <f t="shared" si="26"/>
        <v>4.7900000000000009</v>
      </c>
      <c r="AZ9" s="151">
        <f t="shared" si="27"/>
        <v>0</v>
      </c>
      <c r="BA9" s="160">
        <f t="shared" si="25"/>
        <v>4.7900000000000009</v>
      </c>
      <c r="BB9" s="164"/>
      <c r="BD9" s="86" t="s">
        <v>106</v>
      </c>
      <c r="BE9" s="86" t="s">
        <v>263</v>
      </c>
      <c r="BF9" s="87" t="s">
        <v>264</v>
      </c>
      <c r="BG9" s="87">
        <v>387000650117</v>
      </c>
      <c r="BH9" s="86" t="s">
        <v>265</v>
      </c>
      <c r="BI9" s="86">
        <v>2222</v>
      </c>
      <c r="BJ9" s="86" t="s">
        <v>266</v>
      </c>
      <c r="BK9" s="86">
        <v>13312250</v>
      </c>
      <c r="BL9" s="86" t="s">
        <v>267</v>
      </c>
      <c r="BM9" s="86" t="s">
        <v>108</v>
      </c>
    </row>
    <row r="10" spans="1:65" ht="14.25" customHeight="1" thickBot="1" x14ac:dyDescent="0.25">
      <c r="A10" s="50">
        <v>3.2280000000000003E-2</v>
      </c>
      <c r="B10" s="27">
        <f>VLOOKUP(F10,Planilha3!D:F,3,0)</f>
        <v>113.71404514006571</v>
      </c>
      <c r="C10" s="47">
        <f t="shared" si="20"/>
        <v>3522.7399361854305</v>
      </c>
      <c r="D10" s="47" t="s">
        <v>74</v>
      </c>
      <c r="E10" s="47" t="s">
        <v>79</v>
      </c>
      <c r="F10" s="20">
        <v>904194</v>
      </c>
      <c r="G10" s="20">
        <v>1153719</v>
      </c>
      <c r="H10" s="11" t="s">
        <v>12</v>
      </c>
      <c r="I10" s="20">
        <v>12</v>
      </c>
      <c r="J10" s="20">
        <v>364</v>
      </c>
      <c r="K10" s="123">
        <f t="shared" si="0"/>
        <v>8736</v>
      </c>
      <c r="L10" s="195">
        <f>K10*2</f>
        <v>17472</v>
      </c>
      <c r="M10" s="179">
        <f t="shared" si="1"/>
        <v>48</v>
      </c>
      <c r="N10" s="84">
        <f t="shared" si="2"/>
        <v>2</v>
      </c>
      <c r="O10" s="148">
        <v>31.52</v>
      </c>
      <c r="P10" s="135">
        <f t="shared" si="21"/>
        <v>2.6266666666666665</v>
      </c>
      <c r="Q10" s="9">
        <f t="shared" si="3"/>
        <v>0</v>
      </c>
      <c r="R10" s="9">
        <v>0</v>
      </c>
      <c r="S10" s="29">
        <f t="shared" si="4"/>
        <v>0</v>
      </c>
      <c r="T10" s="29">
        <v>0</v>
      </c>
      <c r="U10" s="121">
        <f t="shared" si="22"/>
        <v>0</v>
      </c>
      <c r="V10" s="121">
        <v>0</v>
      </c>
      <c r="W10" s="36">
        <v>3.0900000000000003</v>
      </c>
      <c r="X10" s="36">
        <v>3.0900000000000003</v>
      </c>
      <c r="Y10" s="36"/>
      <c r="Z10" s="45">
        <f t="shared" si="5"/>
        <v>0</v>
      </c>
      <c r="AA10" s="8">
        <f t="shared" si="6"/>
        <v>550717.43999999994</v>
      </c>
      <c r="AB10" s="32">
        <f>L10*12*0.269/100</f>
        <v>563.99616000000003</v>
      </c>
      <c r="AC10" s="43"/>
      <c r="AD10" s="44">
        <f t="shared" si="7"/>
        <v>0</v>
      </c>
      <c r="AE10" s="39">
        <f t="shared" si="8"/>
        <v>0</v>
      </c>
      <c r="AF10" s="39">
        <f t="shared" si="23"/>
        <v>0</v>
      </c>
      <c r="AH10" s="137">
        <v>0</v>
      </c>
      <c r="AI10" s="137">
        <f t="shared" si="9"/>
        <v>0</v>
      </c>
      <c r="AJ10" s="137">
        <f t="shared" si="10"/>
        <v>0</v>
      </c>
      <c r="AK10" s="7"/>
      <c r="AL10" s="7">
        <f t="shared" si="11"/>
        <v>0</v>
      </c>
      <c r="AM10" s="7">
        <f t="shared" si="12"/>
        <v>0</v>
      </c>
      <c r="AN10" s="143">
        <v>0</v>
      </c>
      <c r="AO10" s="143">
        <f t="shared" si="13"/>
        <v>0</v>
      </c>
      <c r="AP10" s="143">
        <f t="shared" si="14"/>
        <v>0</v>
      </c>
      <c r="AQ10" s="7">
        <f t="shared" si="15"/>
        <v>0</v>
      </c>
      <c r="AR10" s="7">
        <f t="shared" si="15"/>
        <v>0</v>
      </c>
      <c r="AS10" s="40">
        <f t="shared" si="16"/>
        <v>0</v>
      </c>
      <c r="AT10" s="40">
        <f t="shared" si="24"/>
        <v>0</v>
      </c>
      <c r="AU10" s="7">
        <f t="shared" si="17"/>
        <v>2.6266666666666665</v>
      </c>
      <c r="AV10" s="40">
        <f t="shared" si="18"/>
        <v>2.6266666666666665</v>
      </c>
      <c r="AW10" s="41">
        <f t="shared" si="19"/>
        <v>0.14994606256742193</v>
      </c>
      <c r="AY10" s="150">
        <f t="shared" si="26"/>
        <v>3.0900000000000003</v>
      </c>
      <c r="AZ10" s="151">
        <f t="shared" si="27"/>
        <v>0</v>
      </c>
      <c r="BA10" s="160">
        <f t="shared" si="25"/>
        <v>3.0900000000000003</v>
      </c>
      <c r="BB10" s="164"/>
      <c r="BD10" s="86" t="s">
        <v>106</v>
      </c>
      <c r="BE10" s="86" t="s">
        <v>263</v>
      </c>
      <c r="BF10" s="87" t="s">
        <v>264</v>
      </c>
      <c r="BG10" s="87">
        <v>387000650117</v>
      </c>
      <c r="BH10" s="86" t="s">
        <v>265</v>
      </c>
      <c r="BI10" s="86">
        <v>2222</v>
      </c>
      <c r="BJ10" s="86" t="s">
        <v>266</v>
      </c>
      <c r="BK10" s="86">
        <v>13312250</v>
      </c>
      <c r="BL10" s="86" t="s">
        <v>267</v>
      </c>
      <c r="BM10" s="86" t="s">
        <v>108</v>
      </c>
    </row>
    <row r="11" spans="1:65" ht="14.25" customHeight="1" thickBot="1" x14ac:dyDescent="0.25">
      <c r="A11" s="51">
        <v>4.2000000000000003E-2</v>
      </c>
      <c r="B11" s="27">
        <f>VLOOKUP(F11,Planilha3!D:F,3,0)</f>
        <v>719.1538244488064</v>
      </c>
      <c r="C11" s="47">
        <f t="shared" si="20"/>
        <v>17122.710105923961</v>
      </c>
      <c r="D11" s="47" t="s">
        <v>74</v>
      </c>
      <c r="E11" s="47" t="s">
        <v>79</v>
      </c>
      <c r="F11" s="20">
        <v>903750</v>
      </c>
      <c r="G11" s="20">
        <v>1055249</v>
      </c>
      <c r="H11" s="11" t="s">
        <v>11</v>
      </c>
      <c r="I11" s="20">
        <v>12</v>
      </c>
      <c r="J11" s="20">
        <v>280</v>
      </c>
      <c r="K11" s="123">
        <f t="shared" si="0"/>
        <v>6720</v>
      </c>
      <c r="L11" s="195">
        <f>K11*6</f>
        <v>40320</v>
      </c>
      <c r="M11" s="179">
        <f t="shared" si="1"/>
        <v>144</v>
      </c>
      <c r="N11" s="84">
        <f t="shared" si="2"/>
        <v>6</v>
      </c>
      <c r="O11" s="148">
        <v>40.700000000000003</v>
      </c>
      <c r="P11" s="135">
        <f t="shared" si="21"/>
        <v>3.3916666666666671</v>
      </c>
      <c r="Q11" s="13">
        <f t="shared" si="3"/>
        <v>0</v>
      </c>
      <c r="R11" s="13">
        <v>0</v>
      </c>
      <c r="S11" s="74">
        <f t="shared" si="4"/>
        <v>0</v>
      </c>
      <c r="T11" s="74">
        <v>0</v>
      </c>
      <c r="U11" s="121">
        <f t="shared" si="22"/>
        <v>0</v>
      </c>
      <c r="V11" s="121">
        <v>0</v>
      </c>
      <c r="W11" s="36">
        <v>3.99</v>
      </c>
      <c r="X11" s="36">
        <v>3.99</v>
      </c>
      <c r="Y11" s="36"/>
      <c r="Z11" s="45">
        <f t="shared" si="5"/>
        <v>0</v>
      </c>
      <c r="AA11" s="8">
        <f t="shared" si="6"/>
        <v>1641024</v>
      </c>
      <c r="AB11" s="32">
        <f>L11*12*0.35/100</f>
        <v>1693.44</v>
      </c>
      <c r="AC11" s="43"/>
      <c r="AD11" s="44">
        <f t="shared" si="7"/>
        <v>0</v>
      </c>
      <c r="AE11" s="39">
        <f t="shared" si="8"/>
        <v>0</v>
      </c>
      <c r="AF11" s="39">
        <f t="shared" si="23"/>
        <v>0</v>
      </c>
      <c r="AH11" s="137">
        <v>0</v>
      </c>
      <c r="AI11" s="137">
        <f t="shared" si="9"/>
        <v>0</v>
      </c>
      <c r="AJ11" s="137">
        <f t="shared" si="10"/>
        <v>0</v>
      </c>
      <c r="AK11" s="7"/>
      <c r="AL11" s="7">
        <f t="shared" si="11"/>
        <v>0</v>
      </c>
      <c r="AM11" s="7">
        <f t="shared" si="12"/>
        <v>0</v>
      </c>
      <c r="AN11" s="143">
        <v>0</v>
      </c>
      <c r="AO11" s="143">
        <f t="shared" si="13"/>
        <v>0</v>
      </c>
      <c r="AP11" s="143">
        <f t="shared" si="14"/>
        <v>0</v>
      </c>
      <c r="AQ11" s="7">
        <f t="shared" si="15"/>
        <v>0</v>
      </c>
      <c r="AR11" s="7">
        <f t="shared" si="15"/>
        <v>0</v>
      </c>
      <c r="AS11" s="40">
        <f t="shared" si="16"/>
        <v>0</v>
      </c>
      <c r="AT11" s="40">
        <f t="shared" si="24"/>
        <v>0</v>
      </c>
      <c r="AU11" s="7">
        <f t="shared" si="17"/>
        <v>3.3916666666666671</v>
      </c>
      <c r="AV11" s="40">
        <f t="shared" si="18"/>
        <v>3.3916666666666671</v>
      </c>
      <c r="AW11" s="41">
        <f t="shared" si="19"/>
        <v>0.14995822890559726</v>
      </c>
      <c r="AY11" s="150">
        <f t="shared" si="26"/>
        <v>3.99</v>
      </c>
      <c r="AZ11" s="151">
        <f t="shared" si="27"/>
        <v>0</v>
      </c>
      <c r="BA11" s="160">
        <f t="shared" si="25"/>
        <v>3.99</v>
      </c>
      <c r="BB11" s="164"/>
      <c r="BD11" s="86" t="s">
        <v>106</v>
      </c>
      <c r="BE11" s="86" t="s">
        <v>263</v>
      </c>
      <c r="BF11" s="87" t="s">
        <v>264</v>
      </c>
      <c r="BG11" s="87">
        <v>387000650117</v>
      </c>
      <c r="BH11" s="86" t="s">
        <v>265</v>
      </c>
      <c r="BI11" s="86">
        <v>2222</v>
      </c>
      <c r="BJ11" s="86" t="s">
        <v>266</v>
      </c>
      <c r="BK11" s="86">
        <v>13312250</v>
      </c>
      <c r="BL11" s="86" t="s">
        <v>267</v>
      </c>
      <c r="BM11" s="86" t="s">
        <v>108</v>
      </c>
    </row>
    <row r="12" spans="1:65" ht="14.25" customHeight="1" thickBot="1" x14ac:dyDescent="0.25">
      <c r="A12" s="50">
        <v>4.2599999999999999E-2</v>
      </c>
      <c r="B12" s="27">
        <f>VLOOKUP(F12,Planilha3!D:F,3,0)</f>
        <v>44.325776915420867</v>
      </c>
      <c r="C12" s="47">
        <f t="shared" si="20"/>
        <v>1040.511195197673</v>
      </c>
      <c r="D12" s="47" t="s">
        <v>74</v>
      </c>
      <c r="E12" s="47" t="s">
        <v>79</v>
      </c>
      <c r="F12" s="20">
        <v>901781</v>
      </c>
      <c r="G12" s="20">
        <v>1016972</v>
      </c>
      <c r="H12" s="11" t="s">
        <v>10</v>
      </c>
      <c r="I12" s="20">
        <v>12</v>
      </c>
      <c r="J12" s="20">
        <v>175</v>
      </c>
      <c r="K12" s="123">
        <f t="shared" si="0"/>
        <v>4200</v>
      </c>
      <c r="L12" s="195">
        <f>K12*1</f>
        <v>4200</v>
      </c>
      <c r="M12" s="179">
        <f t="shared" si="1"/>
        <v>24</v>
      </c>
      <c r="N12" s="84">
        <f t="shared" si="2"/>
        <v>1</v>
      </c>
      <c r="O12" s="148">
        <v>51.92</v>
      </c>
      <c r="P12" s="135">
        <f t="shared" si="21"/>
        <v>4.3266666666666671</v>
      </c>
      <c r="Q12" s="13">
        <f t="shared" si="3"/>
        <v>3</v>
      </c>
      <c r="R12" s="13">
        <v>0.25</v>
      </c>
      <c r="S12" s="74">
        <f t="shared" si="4"/>
        <v>0.36</v>
      </c>
      <c r="T12" s="74">
        <v>0.03</v>
      </c>
      <c r="U12" s="121">
        <f t="shared" si="22"/>
        <v>0.28000000000000003</v>
      </c>
      <c r="V12" s="121">
        <v>0.28000000000000003</v>
      </c>
      <c r="W12" s="36">
        <v>5.0900000000000007</v>
      </c>
      <c r="X12" s="36">
        <v>4.1900000000000004</v>
      </c>
      <c r="Y12" s="36"/>
      <c r="Z12" s="45">
        <f t="shared" si="5"/>
        <v>14112</v>
      </c>
      <c r="AA12" s="8">
        <f t="shared" si="6"/>
        <v>218064</v>
      </c>
      <c r="AB12" s="32">
        <f>L12*12*0.355/100</f>
        <v>178.92</v>
      </c>
      <c r="AC12" s="43"/>
      <c r="AD12" s="44">
        <f t="shared" si="7"/>
        <v>0.28826000000000002</v>
      </c>
      <c r="AE12" s="39">
        <f t="shared" si="8"/>
        <v>0.28000000000000003</v>
      </c>
      <c r="AF12" s="39">
        <f t="shared" si="23"/>
        <v>8.2599999999999896E-3</v>
      </c>
      <c r="AH12" s="175">
        <v>81.2</v>
      </c>
      <c r="AI12" s="175">
        <f t="shared" si="9"/>
        <v>14528.304</v>
      </c>
      <c r="AJ12" s="175">
        <f t="shared" si="10"/>
        <v>0.28826000000000002</v>
      </c>
      <c r="AK12" s="7"/>
      <c r="AL12" s="7">
        <f t="shared" si="11"/>
        <v>0</v>
      </c>
      <c r="AM12" s="7">
        <f t="shared" si="12"/>
        <v>0</v>
      </c>
      <c r="AN12" s="7">
        <v>0</v>
      </c>
      <c r="AO12" s="137">
        <f t="shared" si="13"/>
        <v>0</v>
      </c>
      <c r="AP12" s="137">
        <f t="shared" si="14"/>
        <v>0</v>
      </c>
      <c r="AQ12" s="7">
        <f t="shared" si="15"/>
        <v>14528.304</v>
      </c>
      <c r="AR12" s="7">
        <f t="shared" si="15"/>
        <v>0.28826000000000002</v>
      </c>
      <c r="AS12" s="40">
        <f t="shared" si="16"/>
        <v>14112</v>
      </c>
      <c r="AT12" s="40">
        <f t="shared" si="24"/>
        <v>416.30400000000009</v>
      </c>
      <c r="AU12" s="7">
        <f t="shared" si="17"/>
        <v>4.3266666666666671</v>
      </c>
      <c r="AV12" s="40">
        <f t="shared" si="18"/>
        <v>4.0466666666666669</v>
      </c>
      <c r="AW12" s="41">
        <f t="shared" si="19"/>
        <v>3.4208432776451914E-2</v>
      </c>
      <c r="AY12" s="150">
        <f t="shared" si="26"/>
        <v>4.1900000000000004</v>
      </c>
      <c r="AZ12" s="151">
        <f t="shared" si="27"/>
        <v>0</v>
      </c>
      <c r="BA12" s="160">
        <f t="shared" si="25"/>
        <v>4.1900000000000004</v>
      </c>
      <c r="BB12" s="164"/>
      <c r="BD12" s="86" t="s">
        <v>106</v>
      </c>
      <c r="BE12" s="86" t="s">
        <v>263</v>
      </c>
      <c r="BF12" s="87" t="s">
        <v>264</v>
      </c>
      <c r="BG12" s="87">
        <v>387000650117</v>
      </c>
      <c r="BH12" s="86" t="s">
        <v>265</v>
      </c>
      <c r="BI12" s="86">
        <v>2222</v>
      </c>
      <c r="BJ12" s="86" t="s">
        <v>266</v>
      </c>
      <c r="BK12" s="86">
        <v>13312250</v>
      </c>
      <c r="BL12" s="86" t="s">
        <v>267</v>
      </c>
      <c r="BM12" s="86" t="s">
        <v>108</v>
      </c>
    </row>
    <row r="13" spans="1:65" ht="14.25" customHeight="1" thickBot="1" x14ac:dyDescent="0.25">
      <c r="A13" s="51">
        <v>4.2000000000000003E-2</v>
      </c>
      <c r="B13" s="27">
        <f>VLOOKUP(F13,Planilha3!D:F,3,0)</f>
        <v>32.202739533816178</v>
      </c>
      <c r="C13" s="47">
        <f t="shared" si="20"/>
        <v>766.73189366228996</v>
      </c>
      <c r="D13" s="47" t="s">
        <v>74</v>
      </c>
      <c r="E13" s="47" t="s">
        <v>79</v>
      </c>
      <c r="F13" s="20">
        <v>904772</v>
      </c>
      <c r="G13" s="20">
        <v>1170146</v>
      </c>
      <c r="H13" s="11" t="s">
        <v>9</v>
      </c>
      <c r="I13" s="20">
        <v>12</v>
      </c>
      <c r="J13" s="20">
        <v>280</v>
      </c>
      <c r="K13" s="123">
        <f t="shared" si="0"/>
        <v>6720</v>
      </c>
      <c r="L13" s="195">
        <v>6720</v>
      </c>
      <c r="M13" s="179">
        <f t="shared" si="1"/>
        <v>24</v>
      </c>
      <c r="N13" s="84">
        <f t="shared" si="2"/>
        <v>1</v>
      </c>
      <c r="O13" s="148">
        <v>40.700000000000003</v>
      </c>
      <c r="P13" s="135">
        <f t="shared" si="21"/>
        <v>3.3916666666666671</v>
      </c>
      <c r="Q13" s="9">
        <f t="shared" si="3"/>
        <v>0</v>
      </c>
      <c r="R13" s="9">
        <v>0</v>
      </c>
      <c r="S13" s="74">
        <f t="shared" si="4"/>
        <v>0</v>
      </c>
      <c r="T13" s="74">
        <v>0</v>
      </c>
      <c r="U13" s="121">
        <f t="shared" si="22"/>
        <v>0</v>
      </c>
      <c r="V13" s="121">
        <v>0</v>
      </c>
      <c r="W13" s="36">
        <v>3.99</v>
      </c>
      <c r="X13" s="36">
        <v>3.99</v>
      </c>
      <c r="Y13" s="36"/>
      <c r="Z13" s="45">
        <f t="shared" si="5"/>
        <v>0</v>
      </c>
      <c r="AA13" s="8">
        <f t="shared" si="6"/>
        <v>273504</v>
      </c>
      <c r="AB13" s="32">
        <f>L13*12*0.35/100</f>
        <v>282.24</v>
      </c>
      <c r="AC13" s="43"/>
      <c r="AD13" s="44">
        <f t="shared" si="7"/>
        <v>0</v>
      </c>
      <c r="AE13" s="39">
        <f t="shared" si="8"/>
        <v>0</v>
      </c>
      <c r="AF13" s="39">
        <f t="shared" si="23"/>
        <v>0</v>
      </c>
      <c r="AH13" s="137">
        <v>0</v>
      </c>
      <c r="AI13" s="137">
        <f t="shared" si="9"/>
        <v>0</v>
      </c>
      <c r="AJ13" s="137">
        <f t="shared" si="10"/>
        <v>0</v>
      </c>
      <c r="AK13" s="7"/>
      <c r="AL13" s="7">
        <f t="shared" si="11"/>
        <v>0</v>
      </c>
      <c r="AM13" s="7">
        <f t="shared" si="12"/>
        <v>0</v>
      </c>
      <c r="AN13" s="143">
        <v>0</v>
      </c>
      <c r="AO13" s="143">
        <f t="shared" si="13"/>
        <v>0</v>
      </c>
      <c r="AP13" s="143">
        <f t="shared" si="14"/>
        <v>0</v>
      </c>
      <c r="AQ13" s="7">
        <f t="shared" si="15"/>
        <v>0</v>
      </c>
      <c r="AR13" s="7">
        <f t="shared" si="15"/>
        <v>0</v>
      </c>
      <c r="AS13" s="40">
        <f t="shared" si="16"/>
        <v>0</v>
      </c>
      <c r="AT13" s="40">
        <f t="shared" si="24"/>
        <v>0</v>
      </c>
      <c r="AU13" s="7">
        <f t="shared" si="17"/>
        <v>3.3916666666666671</v>
      </c>
      <c r="AV13" s="40">
        <f t="shared" si="18"/>
        <v>3.3916666666666671</v>
      </c>
      <c r="AW13" s="41">
        <f t="shared" si="19"/>
        <v>0.14995822890559726</v>
      </c>
      <c r="AY13" s="150">
        <f t="shared" si="26"/>
        <v>3.99</v>
      </c>
      <c r="AZ13" s="151">
        <f t="shared" si="27"/>
        <v>0</v>
      </c>
      <c r="BA13" s="160">
        <f t="shared" si="25"/>
        <v>3.99</v>
      </c>
      <c r="BB13" s="164"/>
      <c r="BD13" s="86" t="s">
        <v>106</v>
      </c>
      <c r="BE13" s="86" t="s">
        <v>263</v>
      </c>
      <c r="BF13" s="87" t="s">
        <v>264</v>
      </c>
      <c r="BG13" s="87">
        <v>387000650117</v>
      </c>
      <c r="BH13" s="86" t="s">
        <v>265</v>
      </c>
      <c r="BI13" s="86">
        <v>2222</v>
      </c>
      <c r="BJ13" s="86" t="s">
        <v>266</v>
      </c>
      <c r="BK13" s="86">
        <v>13312250</v>
      </c>
      <c r="BL13" s="86" t="s">
        <v>267</v>
      </c>
      <c r="BM13" s="86" t="s">
        <v>108</v>
      </c>
    </row>
    <row r="14" spans="1:65" ht="14.25" customHeight="1" thickBot="1" x14ac:dyDescent="0.25">
      <c r="A14" s="50">
        <v>4.2599999999999999E-2</v>
      </c>
      <c r="B14" s="27">
        <f>VLOOKUP(F14,Planilha3!D:F,3,0)</f>
        <v>1.8908876264095478</v>
      </c>
      <c r="C14" s="47">
        <f t="shared" si="20"/>
        <v>44.387033483792202</v>
      </c>
      <c r="D14" s="47" t="s">
        <v>74</v>
      </c>
      <c r="E14" s="47" t="s">
        <v>79</v>
      </c>
      <c r="F14" s="186">
        <v>904771</v>
      </c>
      <c r="G14" s="186">
        <v>1170180</v>
      </c>
      <c r="H14" s="187" t="s">
        <v>8</v>
      </c>
      <c r="I14" s="186">
        <v>12</v>
      </c>
      <c r="J14" s="186">
        <v>175</v>
      </c>
      <c r="K14" s="188">
        <f t="shared" si="0"/>
        <v>4200</v>
      </c>
      <c r="L14" s="195">
        <v>0</v>
      </c>
      <c r="M14" s="178">
        <f t="shared" si="1"/>
        <v>0</v>
      </c>
      <c r="N14" s="84">
        <f t="shared" si="2"/>
        <v>0</v>
      </c>
      <c r="O14" s="148">
        <v>51.92</v>
      </c>
      <c r="P14" s="135">
        <f t="shared" si="21"/>
        <v>4.3266666666666671</v>
      </c>
      <c r="Q14" s="13">
        <f t="shared" si="3"/>
        <v>3</v>
      </c>
      <c r="R14" s="13">
        <v>0.25</v>
      </c>
      <c r="S14" s="74">
        <f t="shared" si="4"/>
        <v>0.36</v>
      </c>
      <c r="T14" s="74">
        <v>0.03</v>
      </c>
      <c r="U14" s="121">
        <f t="shared" si="22"/>
        <v>0.28000000000000003</v>
      </c>
      <c r="V14" s="121">
        <v>0.28000000000000003</v>
      </c>
      <c r="W14" s="139">
        <v>5.0900000000000007</v>
      </c>
      <c r="X14" s="139">
        <v>4.1900000000000004</v>
      </c>
      <c r="Y14" s="139"/>
      <c r="Z14" s="140">
        <f t="shared" si="5"/>
        <v>0</v>
      </c>
      <c r="AA14" s="141">
        <f t="shared" si="6"/>
        <v>0</v>
      </c>
      <c r="AB14" s="32">
        <f>L14*12*0.355/100</f>
        <v>0</v>
      </c>
      <c r="AC14" s="43"/>
      <c r="AD14" s="44" t="e">
        <f t="shared" si="7"/>
        <v>#DIV/0!</v>
      </c>
      <c r="AE14" s="39">
        <f t="shared" si="8"/>
        <v>0.28000000000000003</v>
      </c>
      <c r="AF14" s="39" t="e">
        <f t="shared" si="23"/>
        <v>#DIV/0!</v>
      </c>
      <c r="AH14" s="175">
        <v>81.2</v>
      </c>
      <c r="AI14" s="175">
        <f t="shared" si="9"/>
        <v>0</v>
      </c>
      <c r="AJ14" s="175" t="e">
        <f t="shared" si="10"/>
        <v>#DIV/0!</v>
      </c>
      <c r="AK14" s="7"/>
      <c r="AL14" s="7">
        <f t="shared" si="11"/>
        <v>0</v>
      </c>
      <c r="AM14" s="7" t="e">
        <f t="shared" si="12"/>
        <v>#DIV/0!</v>
      </c>
      <c r="AN14" s="7">
        <v>0</v>
      </c>
      <c r="AO14" s="142">
        <f t="shared" si="13"/>
        <v>0</v>
      </c>
      <c r="AP14" s="142" t="e">
        <f t="shared" si="14"/>
        <v>#DIV/0!</v>
      </c>
      <c r="AQ14" s="7">
        <f t="shared" si="15"/>
        <v>0</v>
      </c>
      <c r="AR14" s="7" t="e">
        <f t="shared" si="15"/>
        <v>#DIV/0!</v>
      </c>
      <c r="AS14" s="40">
        <f t="shared" si="16"/>
        <v>0</v>
      </c>
      <c r="AT14" s="40">
        <f t="shared" si="24"/>
        <v>0</v>
      </c>
      <c r="AU14" s="7">
        <f t="shared" si="17"/>
        <v>4.3266666666666671</v>
      </c>
      <c r="AV14" s="40">
        <f t="shared" si="18"/>
        <v>4.0466666666666669</v>
      </c>
      <c r="AW14" s="41">
        <f t="shared" si="19"/>
        <v>3.4208432776451914E-2</v>
      </c>
      <c r="AY14" s="150">
        <f t="shared" si="26"/>
        <v>4.1900000000000004</v>
      </c>
      <c r="AZ14" s="151">
        <f t="shared" si="27"/>
        <v>0</v>
      </c>
      <c r="BA14" s="160">
        <f t="shared" si="25"/>
        <v>4.1900000000000004</v>
      </c>
      <c r="BB14" s="164"/>
      <c r="BD14" s="86" t="s">
        <v>106</v>
      </c>
      <c r="BE14" s="86" t="s">
        <v>263</v>
      </c>
      <c r="BF14" s="87" t="s">
        <v>264</v>
      </c>
      <c r="BG14" s="87">
        <v>387000650117</v>
      </c>
      <c r="BH14" s="86" t="s">
        <v>265</v>
      </c>
      <c r="BI14" s="86">
        <v>2222</v>
      </c>
      <c r="BJ14" s="86" t="s">
        <v>266</v>
      </c>
      <c r="BK14" s="86">
        <v>13312250</v>
      </c>
      <c r="BL14" s="86" t="s">
        <v>267</v>
      </c>
      <c r="BM14" s="86" t="s">
        <v>108</v>
      </c>
    </row>
    <row r="15" spans="1:65" ht="14.25" customHeight="1" thickBot="1" x14ac:dyDescent="0.25">
      <c r="A15" s="52">
        <f>0.269*8/100</f>
        <v>2.1520000000000001E-2</v>
      </c>
      <c r="B15" s="27">
        <f>VLOOKUP(F15,Planilha3!D:F,3,0)</f>
        <v>105.66936558057154</v>
      </c>
      <c r="C15" s="47">
        <f t="shared" si="20"/>
        <v>4910.2865046733987</v>
      </c>
      <c r="D15" s="47" t="s">
        <v>74</v>
      </c>
      <c r="E15" s="47" t="s">
        <v>75</v>
      </c>
      <c r="F15" s="20">
        <v>904895</v>
      </c>
      <c r="G15" s="20">
        <v>1208101</v>
      </c>
      <c r="H15" s="11" t="s">
        <v>64</v>
      </c>
      <c r="I15" s="20">
        <v>8</v>
      </c>
      <c r="J15" s="20">
        <v>520</v>
      </c>
      <c r="K15" s="123">
        <f t="shared" ref="K15:K22" si="28">J15*26</f>
        <v>13520</v>
      </c>
      <c r="L15" s="195">
        <v>27040</v>
      </c>
      <c r="M15" s="179">
        <f t="shared" si="1"/>
        <v>52</v>
      </c>
      <c r="N15" s="84">
        <f t="shared" si="2"/>
        <v>2</v>
      </c>
      <c r="O15" s="148">
        <v>31.21</v>
      </c>
      <c r="P15" s="135">
        <f t="shared" si="21"/>
        <v>3.9012500000000001</v>
      </c>
      <c r="Q15" s="13">
        <f t="shared" si="3"/>
        <v>0.8</v>
      </c>
      <c r="R15" s="13">
        <v>0.1</v>
      </c>
      <c r="S15" s="74">
        <f t="shared" si="4"/>
        <v>0.64</v>
      </c>
      <c r="T15" s="74">
        <v>0.08</v>
      </c>
      <c r="U15" s="121">
        <f t="shared" si="22"/>
        <v>0.18</v>
      </c>
      <c r="V15" s="121">
        <v>0.18</v>
      </c>
      <c r="W15" s="36">
        <f>VLOOKUP(F15,'[1]Proposta HNK para Tenda'!$F:$T,15,0)</f>
        <v>4.59</v>
      </c>
      <c r="X15" s="36">
        <f>VLOOKUP(F15,'[1]Proposta HNK para Tenda'!$F:$U,16,0)</f>
        <v>3.99</v>
      </c>
      <c r="Y15" s="36"/>
      <c r="Z15" s="45">
        <f t="shared" si="5"/>
        <v>38937.599999999999</v>
      </c>
      <c r="AA15" s="8">
        <f t="shared" si="6"/>
        <v>843918.4</v>
      </c>
      <c r="AB15" s="32">
        <f>L15*8*0.269/100</f>
        <v>581.9008</v>
      </c>
      <c r="AC15" s="43"/>
      <c r="AD15" s="44">
        <f t="shared" si="7"/>
        <v>0.1905596</v>
      </c>
      <c r="AE15" s="39">
        <f t="shared" si="8"/>
        <v>0.18</v>
      </c>
      <c r="AF15" s="39">
        <f t="shared" si="23"/>
        <v>1.0559600000000002E-2</v>
      </c>
      <c r="AH15" s="175">
        <v>70.84</v>
      </c>
      <c r="AI15" s="175">
        <f t="shared" si="9"/>
        <v>41221.852672000001</v>
      </c>
      <c r="AJ15" s="175">
        <f t="shared" si="10"/>
        <v>0.1905596</v>
      </c>
      <c r="AK15" s="7"/>
      <c r="AL15" s="7">
        <f t="shared" si="11"/>
        <v>0</v>
      </c>
      <c r="AM15" s="7">
        <f t="shared" si="12"/>
        <v>0</v>
      </c>
      <c r="AN15" s="7">
        <v>0</v>
      </c>
      <c r="AO15" s="137">
        <f t="shared" si="13"/>
        <v>0</v>
      </c>
      <c r="AP15" s="137">
        <f t="shared" si="14"/>
        <v>0</v>
      </c>
      <c r="AQ15" s="7">
        <f t="shared" si="15"/>
        <v>41221.852672000001</v>
      </c>
      <c r="AR15" s="7">
        <f t="shared" si="15"/>
        <v>0.1905596</v>
      </c>
      <c r="AS15" s="40">
        <f t="shared" si="16"/>
        <v>38937.599999999999</v>
      </c>
      <c r="AT15" s="40">
        <f t="shared" si="24"/>
        <v>2284.2526720000023</v>
      </c>
      <c r="AU15" s="7">
        <f t="shared" si="17"/>
        <v>3.9012500000000001</v>
      </c>
      <c r="AV15" s="40">
        <f t="shared" si="18"/>
        <v>3.7212499999999999</v>
      </c>
      <c r="AW15" s="41">
        <f t="shared" si="19"/>
        <v>6.7355889724310836E-2</v>
      </c>
      <c r="AY15" s="150">
        <f t="shared" si="26"/>
        <v>3.99</v>
      </c>
      <c r="AZ15" s="151">
        <f t="shared" si="27"/>
        <v>0</v>
      </c>
      <c r="BA15" s="160">
        <f t="shared" si="25"/>
        <v>3.99</v>
      </c>
      <c r="BB15" s="164"/>
      <c r="BD15" s="86" t="s">
        <v>117</v>
      </c>
      <c r="BE15" s="86" t="s">
        <v>263</v>
      </c>
      <c r="BF15" s="87" t="s">
        <v>275</v>
      </c>
      <c r="BG15" s="87" t="s">
        <v>276</v>
      </c>
      <c r="BH15" s="86" t="s">
        <v>277</v>
      </c>
      <c r="BI15" s="86">
        <v>199</v>
      </c>
      <c r="BJ15" s="86" t="s">
        <v>118</v>
      </c>
      <c r="BK15" s="86">
        <v>84043610</v>
      </c>
      <c r="BL15" s="86" t="s">
        <v>117</v>
      </c>
      <c r="BM15" s="86" t="s">
        <v>119</v>
      </c>
    </row>
    <row r="16" spans="1:65" ht="14.25" customHeight="1" thickBot="1" x14ac:dyDescent="0.25">
      <c r="A16" s="51">
        <v>4.2000000000000003E-2</v>
      </c>
      <c r="B16" s="27">
        <f>VLOOKUP(F16,Planilha3!D:F,3,0)</f>
        <v>151.60164053402013</v>
      </c>
      <c r="C16" s="47">
        <f t="shared" si="20"/>
        <v>3609.562869857622</v>
      </c>
      <c r="D16" s="47" t="s">
        <v>74</v>
      </c>
      <c r="E16" s="47" t="s">
        <v>75</v>
      </c>
      <c r="F16" s="20">
        <v>904961</v>
      </c>
      <c r="G16" s="20">
        <v>1193325</v>
      </c>
      <c r="H16" s="11" t="s">
        <v>54</v>
      </c>
      <c r="I16" s="20">
        <v>12</v>
      </c>
      <c r="J16" s="20">
        <v>280</v>
      </c>
      <c r="K16" s="123">
        <f t="shared" si="28"/>
        <v>7280</v>
      </c>
      <c r="L16" s="195">
        <v>109200</v>
      </c>
      <c r="M16" s="179">
        <f t="shared" si="1"/>
        <v>390</v>
      </c>
      <c r="N16" s="84">
        <f t="shared" si="2"/>
        <v>15</v>
      </c>
      <c r="O16" s="148">
        <v>58.04</v>
      </c>
      <c r="P16" s="135">
        <f t="shared" si="21"/>
        <v>4.8366666666666669</v>
      </c>
      <c r="Q16" s="13">
        <f t="shared" si="3"/>
        <v>1.2000000000000002</v>
      </c>
      <c r="R16" s="13">
        <v>0.1</v>
      </c>
      <c r="S16" s="74">
        <f t="shared" si="4"/>
        <v>4.1999999999999993</v>
      </c>
      <c r="T16" s="74">
        <v>0.35</v>
      </c>
      <c r="U16" s="121">
        <f t="shared" si="22"/>
        <v>0.44999999999999996</v>
      </c>
      <c r="V16" s="121">
        <v>0.44999999999999996</v>
      </c>
      <c r="W16" s="36">
        <f>VLOOKUP(F16,'[1]Proposta HNK para Tenda'!$F:$T,15,0)</f>
        <v>5.69</v>
      </c>
      <c r="X16" s="36">
        <f>VLOOKUP(F16,'[1]Proposta HNK para Tenda'!$F:$U,16,0)</f>
        <v>5.2900000000000009</v>
      </c>
      <c r="Y16" s="36"/>
      <c r="Z16" s="45">
        <f t="shared" si="5"/>
        <v>589680</v>
      </c>
      <c r="AA16" s="8">
        <f t="shared" si="6"/>
        <v>6337968</v>
      </c>
      <c r="AB16" s="32">
        <f>L16*12*0.35/100</f>
        <v>4586.3999999999996</v>
      </c>
      <c r="AC16" s="43"/>
      <c r="AD16" s="44">
        <f t="shared" si="7"/>
        <v>0.47900999999999999</v>
      </c>
      <c r="AE16" s="39">
        <f t="shared" si="8"/>
        <v>0.44999999999999996</v>
      </c>
      <c r="AF16" s="39">
        <f t="shared" si="23"/>
        <v>2.9010000000000036E-2</v>
      </c>
      <c r="AH16" s="175">
        <v>33.86</v>
      </c>
      <c r="AI16" s="175">
        <f t="shared" si="9"/>
        <v>155295.50399999999</v>
      </c>
      <c r="AJ16" s="175">
        <f t="shared" si="10"/>
        <v>0.11850999999999999</v>
      </c>
      <c r="AK16" s="7"/>
      <c r="AL16" s="7">
        <f t="shared" si="11"/>
        <v>0</v>
      </c>
      <c r="AM16" s="7">
        <f t="shared" si="12"/>
        <v>0</v>
      </c>
      <c r="AN16" s="174">
        <v>103</v>
      </c>
      <c r="AO16" s="174">
        <f t="shared" si="13"/>
        <v>472399.19999999995</v>
      </c>
      <c r="AP16" s="174">
        <f t="shared" si="14"/>
        <v>0.36049999999999999</v>
      </c>
      <c r="AQ16" s="7">
        <f t="shared" si="15"/>
        <v>627694.70399999991</v>
      </c>
      <c r="AR16" s="7">
        <f t="shared" si="15"/>
        <v>0.47900999999999999</v>
      </c>
      <c r="AS16" s="40">
        <f t="shared" si="16"/>
        <v>589680</v>
      </c>
      <c r="AT16" s="40">
        <f t="shared" si="24"/>
        <v>38014.703999999911</v>
      </c>
      <c r="AU16" s="7">
        <f t="shared" si="17"/>
        <v>4.8366666666666669</v>
      </c>
      <c r="AV16" s="40">
        <f t="shared" si="18"/>
        <v>4.3866666666666676</v>
      </c>
      <c r="AW16" s="41">
        <f t="shared" si="19"/>
        <v>0.17076244486452422</v>
      </c>
      <c r="AY16" s="150">
        <f t="shared" si="26"/>
        <v>5.2900000000000009</v>
      </c>
      <c r="AZ16" s="151">
        <f t="shared" si="27"/>
        <v>0</v>
      </c>
      <c r="BA16" s="160">
        <f t="shared" si="25"/>
        <v>5.2900000000000009</v>
      </c>
      <c r="BB16" s="164"/>
      <c r="BD16" s="86" t="s">
        <v>117</v>
      </c>
      <c r="BE16" s="86" t="s">
        <v>263</v>
      </c>
      <c r="BF16" s="87" t="s">
        <v>275</v>
      </c>
      <c r="BG16" s="87" t="s">
        <v>276</v>
      </c>
      <c r="BH16" s="86" t="s">
        <v>277</v>
      </c>
      <c r="BI16" s="86">
        <v>199</v>
      </c>
      <c r="BJ16" s="86" t="s">
        <v>118</v>
      </c>
      <c r="BK16" s="86">
        <v>84043610</v>
      </c>
      <c r="BL16" s="86" t="s">
        <v>117</v>
      </c>
      <c r="BM16" s="86" t="s">
        <v>119</v>
      </c>
    </row>
    <row r="17" spans="1:65" ht="14.25" customHeight="1" thickBot="1" x14ac:dyDescent="0.25">
      <c r="A17" s="50">
        <v>7.9200000000000007E-2</v>
      </c>
      <c r="B17" s="27">
        <f>VLOOKUP(F17,Planilha3!D:F,3,0)</f>
        <v>143.24875260192064</v>
      </c>
      <c r="C17" s="47">
        <f t="shared" si="20"/>
        <v>1808.6963712363715</v>
      </c>
      <c r="D17" s="47" t="s">
        <v>74</v>
      </c>
      <c r="E17" s="47" t="s">
        <v>75</v>
      </c>
      <c r="F17" s="20">
        <v>903996</v>
      </c>
      <c r="G17" s="20">
        <v>1140139</v>
      </c>
      <c r="H17" s="11" t="s">
        <v>7</v>
      </c>
      <c r="I17" s="20">
        <v>24</v>
      </c>
      <c r="J17" s="20">
        <v>91</v>
      </c>
      <c r="K17" s="123">
        <f t="shared" si="28"/>
        <v>2366</v>
      </c>
      <c r="L17" s="195">
        <v>7098</v>
      </c>
      <c r="M17" s="179">
        <f t="shared" si="1"/>
        <v>78</v>
      </c>
      <c r="N17" s="84">
        <f t="shared" si="2"/>
        <v>3</v>
      </c>
      <c r="O17" s="148">
        <v>142.6</v>
      </c>
      <c r="P17" s="135">
        <f t="shared" si="21"/>
        <v>5.9416666666666664</v>
      </c>
      <c r="Q17" s="13">
        <f t="shared" si="3"/>
        <v>1.2000000000000002</v>
      </c>
      <c r="R17" s="13">
        <v>0.05</v>
      </c>
      <c r="S17" s="74">
        <f t="shared" si="4"/>
        <v>0.24</v>
      </c>
      <c r="T17" s="74">
        <v>0.01</v>
      </c>
      <c r="U17" s="121">
        <f t="shared" si="22"/>
        <v>6.0000000000000005E-2</v>
      </c>
      <c r="V17" s="121">
        <v>6.0000000000000005E-2</v>
      </c>
      <c r="W17" s="36">
        <f>VLOOKUP(F17,'[1]Proposta HNK para Tenda'!$F:$T,15,0)</f>
        <v>6.99</v>
      </c>
      <c r="X17" s="36">
        <f>VLOOKUP(F17,'[1]Proposta HNK para Tenda'!$F:$U,16,0)</f>
        <v>6.5900000000000007</v>
      </c>
      <c r="Y17" s="36"/>
      <c r="Z17" s="45">
        <f t="shared" si="5"/>
        <v>10221.120000000001</v>
      </c>
      <c r="AA17" s="8">
        <f t="shared" si="6"/>
        <v>1012174.7999999999</v>
      </c>
      <c r="AB17" s="32">
        <f>L17*24*0.33/100</f>
        <v>562.16160000000002</v>
      </c>
      <c r="AC17" s="43"/>
      <c r="AD17" s="44">
        <f t="shared" si="7"/>
        <v>6.8508000000000013E-2</v>
      </c>
      <c r="AE17" s="39">
        <f t="shared" si="8"/>
        <v>6.0000000000000005E-2</v>
      </c>
      <c r="AF17" s="39">
        <f t="shared" si="23"/>
        <v>8.5080000000000086E-3</v>
      </c>
      <c r="AH17" s="177">
        <v>20.76</v>
      </c>
      <c r="AI17" s="177">
        <f t="shared" si="9"/>
        <v>11670.474816000002</v>
      </c>
      <c r="AJ17" s="177">
        <f t="shared" si="10"/>
        <v>6.8508000000000013E-2</v>
      </c>
      <c r="AK17" s="7"/>
      <c r="AL17" s="7">
        <f t="shared" si="11"/>
        <v>0</v>
      </c>
      <c r="AM17" s="7">
        <f t="shared" si="12"/>
        <v>0</v>
      </c>
      <c r="AN17" s="7">
        <v>0</v>
      </c>
      <c r="AO17" s="137">
        <f t="shared" si="13"/>
        <v>0</v>
      </c>
      <c r="AP17" s="137">
        <f t="shared" si="14"/>
        <v>0</v>
      </c>
      <c r="AQ17" s="7">
        <f t="shared" si="15"/>
        <v>11670.474816000002</v>
      </c>
      <c r="AR17" s="7">
        <f t="shared" si="15"/>
        <v>6.8508000000000013E-2</v>
      </c>
      <c r="AS17" s="40">
        <f t="shared" si="16"/>
        <v>10221.120000000001</v>
      </c>
      <c r="AT17" s="83">
        <f t="shared" si="24"/>
        <v>1449.3548160000009</v>
      </c>
      <c r="AU17" s="7">
        <f t="shared" si="17"/>
        <v>5.9416666666666664</v>
      </c>
      <c r="AV17" s="40">
        <f t="shared" si="18"/>
        <v>5.8816666666666668</v>
      </c>
      <c r="AW17" s="41">
        <f t="shared" si="19"/>
        <v>0.10748609003540727</v>
      </c>
      <c r="AY17" s="150">
        <f t="shared" si="26"/>
        <v>6.5900000000000007</v>
      </c>
      <c r="AZ17" s="151">
        <f t="shared" si="27"/>
        <v>0</v>
      </c>
      <c r="BA17" s="160">
        <f t="shared" si="25"/>
        <v>6.5900000000000007</v>
      </c>
      <c r="BB17" s="164"/>
      <c r="BD17" s="86" t="s">
        <v>117</v>
      </c>
      <c r="BE17" s="86" t="s">
        <v>263</v>
      </c>
      <c r="BF17" s="87" t="s">
        <v>275</v>
      </c>
      <c r="BG17" s="87" t="s">
        <v>276</v>
      </c>
      <c r="BH17" s="86" t="s">
        <v>277</v>
      </c>
      <c r="BI17" s="86">
        <v>199</v>
      </c>
      <c r="BJ17" s="86" t="s">
        <v>118</v>
      </c>
      <c r="BK17" s="86">
        <v>84043610</v>
      </c>
      <c r="BL17" s="86" t="s">
        <v>117</v>
      </c>
      <c r="BM17" s="86" t="s">
        <v>119</v>
      </c>
    </row>
    <row r="18" spans="1:65" ht="14.25" customHeight="1" thickBot="1" x14ac:dyDescent="0.25">
      <c r="A18" s="50">
        <f>0.269*8/100</f>
        <v>2.1520000000000001E-2</v>
      </c>
      <c r="B18" s="27">
        <f>VLOOKUP(F18,Planilha3!D:F,3,0)</f>
        <v>1756.2216050081772</v>
      </c>
      <c r="C18" s="47">
        <f t="shared" si="20"/>
        <v>81608.810641643926</v>
      </c>
      <c r="D18" s="47" t="s">
        <v>74</v>
      </c>
      <c r="E18" s="47" t="s">
        <v>75</v>
      </c>
      <c r="F18" s="20">
        <v>904721</v>
      </c>
      <c r="G18" s="20">
        <v>1169727</v>
      </c>
      <c r="H18" s="11" t="s">
        <v>6</v>
      </c>
      <c r="I18" s="20">
        <v>8</v>
      </c>
      <c r="J18" s="20">
        <v>520</v>
      </c>
      <c r="K18" s="123">
        <f t="shared" si="28"/>
        <v>13520</v>
      </c>
      <c r="L18" s="195">
        <f>K18*45</f>
        <v>608400</v>
      </c>
      <c r="M18" s="179">
        <f t="shared" si="1"/>
        <v>1170</v>
      </c>
      <c r="N18" s="46">
        <f t="shared" si="2"/>
        <v>45</v>
      </c>
      <c r="O18" s="148">
        <v>31.21</v>
      </c>
      <c r="P18" s="135">
        <f t="shared" si="21"/>
        <v>3.9012500000000001</v>
      </c>
      <c r="Q18" s="13">
        <f t="shared" si="3"/>
        <v>0.8</v>
      </c>
      <c r="R18" s="13">
        <v>0.1</v>
      </c>
      <c r="S18" s="74">
        <f t="shared" si="4"/>
        <v>1.6</v>
      </c>
      <c r="T18" s="74">
        <v>0.2</v>
      </c>
      <c r="U18" s="121">
        <f t="shared" si="22"/>
        <v>0.30000000000000004</v>
      </c>
      <c r="V18" s="198">
        <v>0.4</v>
      </c>
      <c r="W18" s="36">
        <f>VLOOKUP(F18,'[1]Proposta HNK para Tenda'!$F:$T,15,0)</f>
        <v>4.59</v>
      </c>
      <c r="X18" s="36">
        <f>VLOOKUP(F18,'[1]Proposta HNK para Tenda'!$F:$U,16,0)</f>
        <v>3.99</v>
      </c>
      <c r="Y18" s="36"/>
      <c r="Z18" s="194">
        <f t="shared" si="5"/>
        <v>1460160.0000000002</v>
      </c>
      <c r="AA18" s="45">
        <f t="shared" si="6"/>
        <v>18988164</v>
      </c>
      <c r="AB18" s="32">
        <f>L18*8*0.269/100</f>
        <v>13092.768</v>
      </c>
      <c r="AC18" s="43"/>
      <c r="AD18" s="44">
        <f t="shared" si="7"/>
        <v>0.1905596</v>
      </c>
      <c r="AE18" s="39">
        <f t="shared" si="8"/>
        <v>0.30000000000000004</v>
      </c>
      <c r="AF18" s="39">
        <f t="shared" si="23"/>
        <v>-0.10944040000000005</v>
      </c>
      <c r="AH18" s="175">
        <v>70.84</v>
      </c>
      <c r="AI18" s="175">
        <f t="shared" si="9"/>
        <v>927491.68512000004</v>
      </c>
      <c r="AJ18" s="175">
        <f t="shared" si="10"/>
        <v>0.1905596</v>
      </c>
      <c r="AK18" s="7"/>
      <c r="AL18" s="7">
        <f t="shared" si="11"/>
        <v>0</v>
      </c>
      <c r="AM18" s="7">
        <f t="shared" si="12"/>
        <v>0</v>
      </c>
      <c r="AN18" s="7">
        <v>0</v>
      </c>
      <c r="AO18" s="137">
        <f t="shared" si="13"/>
        <v>0</v>
      </c>
      <c r="AP18" s="137">
        <f t="shared" si="14"/>
        <v>0</v>
      </c>
      <c r="AQ18" s="7">
        <f t="shared" si="15"/>
        <v>927491.68512000004</v>
      </c>
      <c r="AR18" s="7">
        <f t="shared" si="15"/>
        <v>0.1905596</v>
      </c>
      <c r="AS18" s="40">
        <f t="shared" si="16"/>
        <v>1460160.0000000002</v>
      </c>
      <c r="AT18" s="83">
        <f t="shared" si="24"/>
        <v>-532668.31488000019</v>
      </c>
      <c r="AU18" s="7">
        <f t="shared" si="17"/>
        <v>3.9012500000000001</v>
      </c>
      <c r="AV18" s="40">
        <f t="shared" si="18"/>
        <v>3.6012499999999998</v>
      </c>
      <c r="AW18" s="41">
        <f t="shared" si="19"/>
        <v>9.7431077694235674E-2</v>
      </c>
      <c r="AY18" s="150">
        <f t="shared" si="26"/>
        <v>3.99</v>
      </c>
      <c r="AZ18" s="151">
        <f t="shared" si="27"/>
        <v>0</v>
      </c>
      <c r="BA18" s="160">
        <f t="shared" si="25"/>
        <v>3.99</v>
      </c>
      <c r="BB18" s="164"/>
      <c r="BD18" s="86" t="s">
        <v>117</v>
      </c>
      <c r="BE18" s="86" t="s">
        <v>263</v>
      </c>
      <c r="BF18" s="87" t="s">
        <v>275</v>
      </c>
      <c r="BG18" s="87" t="s">
        <v>276</v>
      </c>
      <c r="BH18" s="86" t="s">
        <v>277</v>
      </c>
      <c r="BI18" s="86">
        <v>199</v>
      </c>
      <c r="BJ18" s="86" t="s">
        <v>118</v>
      </c>
      <c r="BK18" s="86">
        <v>84043610</v>
      </c>
      <c r="BL18" s="86" t="s">
        <v>117</v>
      </c>
      <c r="BM18" s="86" t="s">
        <v>119</v>
      </c>
    </row>
    <row r="19" spans="1:65" ht="14.25" customHeight="1" thickBot="1" x14ac:dyDescent="0.25">
      <c r="A19" s="51">
        <v>4.2000000000000003E-2</v>
      </c>
      <c r="B19" s="27">
        <f>VLOOKUP(F19,Planilha3!D:F,3,0)</f>
        <v>2524.7199789310725</v>
      </c>
      <c r="C19" s="47">
        <f t="shared" si="20"/>
        <v>60112.380450739816</v>
      </c>
      <c r="D19" s="47" t="s">
        <v>74</v>
      </c>
      <c r="E19" s="47" t="s">
        <v>75</v>
      </c>
      <c r="F19" s="20">
        <v>904932</v>
      </c>
      <c r="G19" s="20">
        <v>1193319</v>
      </c>
      <c r="H19" s="11" t="s">
        <v>55</v>
      </c>
      <c r="I19" s="20">
        <v>12</v>
      </c>
      <c r="J19" s="20">
        <v>280</v>
      </c>
      <c r="K19" s="123">
        <f t="shared" si="28"/>
        <v>7280</v>
      </c>
      <c r="L19" s="195">
        <v>509600</v>
      </c>
      <c r="M19" s="178">
        <f t="shared" si="1"/>
        <v>1820</v>
      </c>
      <c r="N19" s="84">
        <f t="shared" si="2"/>
        <v>70</v>
      </c>
      <c r="O19" s="148">
        <v>58.04</v>
      </c>
      <c r="P19" s="135">
        <f t="shared" si="21"/>
        <v>4.8366666666666669</v>
      </c>
      <c r="Q19" s="13">
        <f t="shared" si="3"/>
        <v>1.2000000000000002</v>
      </c>
      <c r="R19" s="13">
        <v>0.1</v>
      </c>
      <c r="S19" s="74">
        <f t="shared" si="4"/>
        <v>4.1999999999999993</v>
      </c>
      <c r="T19" s="74">
        <v>0.35</v>
      </c>
      <c r="U19" s="121">
        <f t="shared" si="22"/>
        <v>0.44999999999999996</v>
      </c>
      <c r="V19" s="121">
        <v>0.44999999999999996</v>
      </c>
      <c r="W19" s="157">
        <f>VLOOKUP(F19,'[1]Proposta HNK para Tenda'!$F:$T,15,0)</f>
        <v>5.69</v>
      </c>
      <c r="X19" s="157">
        <f>VLOOKUP(F19,'[1]Proposta HNK para Tenda'!$F:$U,16,0)</f>
        <v>5.2900000000000009</v>
      </c>
      <c r="Y19" s="157">
        <v>4.99</v>
      </c>
      <c r="Z19" s="45">
        <f t="shared" si="5"/>
        <v>2751839.9999999995</v>
      </c>
      <c r="AA19" s="8">
        <f t="shared" si="6"/>
        <v>29577184</v>
      </c>
      <c r="AB19" s="32">
        <f>L19*12*0.35/100</f>
        <v>21403.200000000001</v>
      </c>
      <c r="AC19" s="43"/>
      <c r="AD19" s="44">
        <f t="shared" si="7"/>
        <v>0.47901000000000005</v>
      </c>
      <c r="AE19" s="39">
        <f t="shared" si="8"/>
        <v>0.44999999999999996</v>
      </c>
      <c r="AF19" s="39">
        <f t="shared" si="23"/>
        <v>2.9010000000000091E-2</v>
      </c>
      <c r="AH19" s="175">
        <v>33.86</v>
      </c>
      <c r="AI19" s="175">
        <f t="shared" si="9"/>
        <v>724712.35199999996</v>
      </c>
      <c r="AJ19" s="175">
        <f t="shared" si="10"/>
        <v>0.11850999999999999</v>
      </c>
      <c r="AK19" s="7"/>
      <c r="AL19" s="7">
        <f t="shared" si="11"/>
        <v>0</v>
      </c>
      <c r="AM19" s="7">
        <f t="shared" si="12"/>
        <v>0</v>
      </c>
      <c r="AN19" s="174">
        <v>103</v>
      </c>
      <c r="AO19" s="174">
        <f t="shared" si="13"/>
        <v>2204529.6</v>
      </c>
      <c r="AP19" s="174">
        <f t="shared" si="14"/>
        <v>0.36050000000000004</v>
      </c>
      <c r="AQ19" s="7">
        <f t="shared" si="15"/>
        <v>2929241.952</v>
      </c>
      <c r="AR19" s="7">
        <f t="shared" si="15"/>
        <v>0.47901000000000005</v>
      </c>
      <c r="AS19" s="40">
        <f t="shared" si="16"/>
        <v>2751839.9999999995</v>
      </c>
      <c r="AT19" s="83">
        <f t="shared" si="24"/>
        <v>177401.95200000051</v>
      </c>
      <c r="AU19" s="7">
        <f t="shared" si="17"/>
        <v>4.8366666666666669</v>
      </c>
      <c r="AV19" s="40">
        <f t="shared" si="18"/>
        <v>4.3866666666666676</v>
      </c>
      <c r="AW19" s="41">
        <f t="shared" si="19"/>
        <v>0.17076244486452422</v>
      </c>
      <c r="AY19" s="153">
        <f>X19*50%</f>
        <v>2.6450000000000005</v>
      </c>
      <c r="AZ19" s="154">
        <f t="shared" si="27"/>
        <v>2.4950000000000001</v>
      </c>
      <c r="BA19" s="159">
        <f t="shared" si="25"/>
        <v>5.1400000000000006</v>
      </c>
      <c r="BB19" s="163">
        <f>(X19-Y19)/X19</f>
        <v>5.6710775047259104E-2</v>
      </c>
      <c r="BD19" s="86" t="s">
        <v>121</v>
      </c>
      <c r="BE19" s="86" t="s">
        <v>263</v>
      </c>
      <c r="BF19" s="87" t="s">
        <v>268</v>
      </c>
      <c r="BG19" s="87">
        <v>392558326113</v>
      </c>
      <c r="BH19" s="86" t="s">
        <v>269</v>
      </c>
      <c r="BI19" s="86">
        <v>2911</v>
      </c>
      <c r="BJ19" s="86" t="s">
        <v>270</v>
      </c>
      <c r="BK19" s="86">
        <v>12321150</v>
      </c>
      <c r="BL19" s="86" t="s">
        <v>271</v>
      </c>
      <c r="BM19" s="86" t="s">
        <v>108</v>
      </c>
    </row>
    <row r="20" spans="1:65" ht="14.25" customHeight="1" thickBot="1" x14ac:dyDescent="0.25">
      <c r="A20" s="52">
        <f>0.25*24/100</f>
        <v>0.06</v>
      </c>
      <c r="B20" s="27">
        <f>VLOOKUP(F20,Planilha3!D:F,3,0)</f>
        <v>501.62260948177118</v>
      </c>
      <c r="C20" s="47">
        <f t="shared" si="20"/>
        <v>8360.3768246961863</v>
      </c>
      <c r="D20" s="47" t="s">
        <v>74</v>
      </c>
      <c r="E20" s="47" t="s">
        <v>75</v>
      </c>
      <c r="F20" s="20">
        <v>905291</v>
      </c>
      <c r="G20" s="20">
        <v>1016561</v>
      </c>
      <c r="H20" s="11" t="s">
        <v>5</v>
      </c>
      <c r="I20" s="20">
        <v>24</v>
      </c>
      <c r="J20" s="20">
        <v>104</v>
      </c>
      <c r="K20" s="123">
        <f t="shared" si="28"/>
        <v>2704</v>
      </c>
      <c r="L20" s="195">
        <v>24336</v>
      </c>
      <c r="M20" s="179">
        <f t="shared" si="1"/>
        <v>234</v>
      </c>
      <c r="N20" s="46">
        <f t="shared" si="2"/>
        <v>9</v>
      </c>
      <c r="O20" s="148">
        <v>107.92</v>
      </c>
      <c r="P20" s="135">
        <f t="shared" si="21"/>
        <v>4.496666666666667</v>
      </c>
      <c r="Q20" s="13">
        <f t="shared" si="3"/>
        <v>1.2000000000000002</v>
      </c>
      <c r="R20" s="13">
        <v>0.05</v>
      </c>
      <c r="S20" s="74">
        <f t="shared" si="4"/>
        <v>0.72</v>
      </c>
      <c r="T20" s="74">
        <v>0.03</v>
      </c>
      <c r="U20" s="121">
        <f t="shared" si="22"/>
        <v>0.08</v>
      </c>
      <c r="V20" s="121">
        <v>0.08</v>
      </c>
      <c r="W20" s="36">
        <v>5.29</v>
      </c>
      <c r="X20" s="36">
        <v>4.99</v>
      </c>
      <c r="Y20" s="36"/>
      <c r="Z20" s="45">
        <f t="shared" si="5"/>
        <v>46725.120000000003</v>
      </c>
      <c r="AA20" s="45">
        <f t="shared" si="6"/>
        <v>2626341.12</v>
      </c>
      <c r="AB20" s="32">
        <f>L20*24*0.25/100</f>
        <v>1460.16</v>
      </c>
      <c r="AC20" s="43"/>
      <c r="AD20" s="44">
        <f t="shared" si="7"/>
        <v>0.23707499999999998</v>
      </c>
      <c r="AE20" s="39">
        <f t="shared" si="8"/>
        <v>0.08</v>
      </c>
      <c r="AF20" s="39">
        <f t="shared" si="23"/>
        <v>0.15707499999999996</v>
      </c>
      <c r="AH20" s="175">
        <v>35.799999999999997</v>
      </c>
      <c r="AI20" s="175">
        <f t="shared" si="9"/>
        <v>52273.727999999996</v>
      </c>
      <c r="AJ20" s="175">
        <f t="shared" si="10"/>
        <v>8.9499999999999982E-2</v>
      </c>
      <c r="AK20" s="7"/>
      <c r="AL20" s="7">
        <f t="shared" si="11"/>
        <v>0</v>
      </c>
      <c r="AM20" s="7">
        <f t="shared" si="12"/>
        <v>0</v>
      </c>
      <c r="AN20" s="174">
        <v>59.03</v>
      </c>
      <c r="AO20" s="174">
        <f t="shared" si="13"/>
        <v>86193.2448</v>
      </c>
      <c r="AP20" s="174">
        <f t="shared" si="14"/>
        <v>0.14757499999999998</v>
      </c>
      <c r="AQ20" s="7">
        <f t="shared" si="15"/>
        <v>138466.97279999999</v>
      </c>
      <c r="AR20" s="7">
        <f t="shared" si="15"/>
        <v>0.23707499999999998</v>
      </c>
      <c r="AS20" s="40">
        <f t="shared" si="16"/>
        <v>46725.120000000003</v>
      </c>
      <c r="AT20" s="83">
        <f t="shared" si="24"/>
        <v>91741.852799999993</v>
      </c>
      <c r="AU20" s="7">
        <f t="shared" si="17"/>
        <v>4.496666666666667</v>
      </c>
      <c r="AV20" s="40">
        <f t="shared" si="18"/>
        <v>4.416666666666667</v>
      </c>
      <c r="AW20" s="41">
        <f t="shared" si="19"/>
        <v>0.11489645958583833</v>
      </c>
      <c r="AY20" s="150">
        <f t="shared" ref="AY20:AY47" si="29">X20*100%</f>
        <v>4.99</v>
      </c>
      <c r="AZ20" s="151">
        <f t="shared" si="27"/>
        <v>0</v>
      </c>
      <c r="BA20" s="160">
        <f t="shared" si="25"/>
        <v>4.99</v>
      </c>
      <c r="BB20" s="164"/>
      <c r="BD20" s="86" t="s">
        <v>121</v>
      </c>
      <c r="BE20" s="86" t="s">
        <v>263</v>
      </c>
      <c r="BF20" s="87" t="s">
        <v>268</v>
      </c>
      <c r="BG20" s="87">
        <v>392558326113</v>
      </c>
      <c r="BH20" s="86" t="s">
        <v>269</v>
      </c>
      <c r="BI20" s="86">
        <v>2911</v>
      </c>
      <c r="BJ20" s="86" t="s">
        <v>270</v>
      </c>
      <c r="BK20" s="86">
        <v>12321150</v>
      </c>
      <c r="BL20" s="86" t="s">
        <v>271</v>
      </c>
      <c r="BM20" s="86" t="s">
        <v>108</v>
      </c>
    </row>
    <row r="21" spans="1:65" ht="14.25" customHeight="1" thickBot="1" x14ac:dyDescent="0.25">
      <c r="A21" s="50">
        <v>7.9200000000000007E-2</v>
      </c>
      <c r="B21" s="27">
        <f>VLOOKUP(F21,Planilha3!D:F,3,0)</f>
        <v>1279.3006982621212</v>
      </c>
      <c r="C21" s="47">
        <f t="shared" si="20"/>
        <v>16152.7865942187</v>
      </c>
      <c r="D21" s="47" t="s">
        <v>74</v>
      </c>
      <c r="E21" s="47" t="s">
        <v>75</v>
      </c>
      <c r="F21" s="20">
        <v>903478</v>
      </c>
      <c r="G21" s="20">
        <v>1045807</v>
      </c>
      <c r="H21" s="11" t="s">
        <v>4</v>
      </c>
      <c r="I21" s="20">
        <v>24</v>
      </c>
      <c r="J21" s="20">
        <v>91</v>
      </c>
      <c r="K21" s="123">
        <f t="shared" si="28"/>
        <v>2366</v>
      </c>
      <c r="L21" s="195">
        <v>70980</v>
      </c>
      <c r="M21" s="179">
        <f t="shared" si="1"/>
        <v>780</v>
      </c>
      <c r="N21" s="84">
        <f t="shared" si="2"/>
        <v>30</v>
      </c>
      <c r="O21" s="148">
        <v>142.6</v>
      </c>
      <c r="P21" s="135">
        <f t="shared" si="21"/>
        <v>5.9416666666666664</v>
      </c>
      <c r="Q21" s="13">
        <f t="shared" si="3"/>
        <v>1.2000000000000002</v>
      </c>
      <c r="R21" s="13">
        <v>0.05</v>
      </c>
      <c r="S21" s="74">
        <f t="shared" si="4"/>
        <v>0.24</v>
      </c>
      <c r="T21" s="74">
        <v>0.01</v>
      </c>
      <c r="U21" s="121">
        <f t="shared" si="22"/>
        <v>6.0000000000000005E-2</v>
      </c>
      <c r="V21" s="121">
        <v>6.0000000000000005E-2</v>
      </c>
      <c r="W21" s="36">
        <f>VLOOKUP(F21,'[1]Proposta HNK para Tenda'!$F:$T,15,0)</f>
        <v>6.99</v>
      </c>
      <c r="X21" s="36">
        <f>VLOOKUP(F21,'[1]Proposta HNK para Tenda'!$F:$U,16,0)</f>
        <v>6.5900000000000007</v>
      </c>
      <c r="Y21" s="36"/>
      <c r="Z21" s="45">
        <f t="shared" si="5"/>
        <v>102211.20000000001</v>
      </c>
      <c r="AA21" s="8">
        <f t="shared" si="6"/>
        <v>10121748</v>
      </c>
      <c r="AB21" s="32">
        <f>L21*24*0.33/100</f>
        <v>5621.616</v>
      </c>
      <c r="AC21" s="43"/>
      <c r="AD21" s="44">
        <f t="shared" si="7"/>
        <v>6.8507999999999999E-2</v>
      </c>
      <c r="AE21" s="39">
        <f t="shared" si="8"/>
        <v>6.0000000000000005E-2</v>
      </c>
      <c r="AF21" s="39">
        <f t="shared" si="23"/>
        <v>8.5079999999999947E-3</v>
      </c>
      <c r="AH21" s="177">
        <v>20.76</v>
      </c>
      <c r="AI21" s="177">
        <f t="shared" si="9"/>
        <v>116704.74816</v>
      </c>
      <c r="AJ21" s="177">
        <f t="shared" si="10"/>
        <v>6.8507999999999999E-2</v>
      </c>
      <c r="AK21" s="7"/>
      <c r="AL21" s="7">
        <f t="shared" si="11"/>
        <v>0</v>
      </c>
      <c r="AM21" s="7">
        <f t="shared" si="12"/>
        <v>0</v>
      </c>
      <c r="AN21" s="7">
        <v>0</v>
      </c>
      <c r="AO21" s="137">
        <f t="shared" si="13"/>
        <v>0</v>
      </c>
      <c r="AP21" s="137">
        <f t="shared" si="14"/>
        <v>0</v>
      </c>
      <c r="AQ21" s="7">
        <f t="shared" si="15"/>
        <v>116704.74816</v>
      </c>
      <c r="AR21" s="7">
        <f t="shared" si="15"/>
        <v>6.8507999999999999E-2</v>
      </c>
      <c r="AS21" s="40">
        <f t="shared" si="16"/>
        <v>102211.20000000001</v>
      </c>
      <c r="AT21" s="83">
        <f t="shared" si="24"/>
        <v>14493.548159999991</v>
      </c>
      <c r="AU21" s="7">
        <f t="shared" si="17"/>
        <v>5.9416666666666664</v>
      </c>
      <c r="AV21" s="40">
        <f t="shared" si="18"/>
        <v>5.8816666666666668</v>
      </c>
      <c r="AW21" s="41">
        <f t="shared" si="19"/>
        <v>0.10748609003540727</v>
      </c>
      <c r="AY21" s="150">
        <f t="shared" si="29"/>
        <v>6.5900000000000007</v>
      </c>
      <c r="AZ21" s="151">
        <f t="shared" si="27"/>
        <v>0</v>
      </c>
      <c r="BA21" s="160">
        <f t="shared" si="25"/>
        <v>6.5900000000000007</v>
      </c>
      <c r="BB21" s="164"/>
      <c r="BD21" s="86" t="s">
        <v>120</v>
      </c>
      <c r="BE21" s="86" t="s">
        <v>263</v>
      </c>
      <c r="BF21" s="87" t="s">
        <v>272</v>
      </c>
      <c r="BG21" s="87">
        <v>181661963118</v>
      </c>
      <c r="BH21" s="86" t="s">
        <v>273</v>
      </c>
      <c r="BI21" s="86">
        <v>701</v>
      </c>
      <c r="BJ21" s="86" t="s">
        <v>274</v>
      </c>
      <c r="BK21" s="86">
        <v>14808080</v>
      </c>
      <c r="BL21" s="86" t="s">
        <v>120</v>
      </c>
      <c r="BM21" s="86" t="s">
        <v>108</v>
      </c>
    </row>
    <row r="22" spans="1:65" ht="14.25" customHeight="1" thickBot="1" x14ac:dyDescent="0.25">
      <c r="A22" s="50">
        <v>7.1999999999999995E-2</v>
      </c>
      <c r="B22" s="27">
        <f>VLOOKUP(F22,Planilha3!D:F,3,0)</f>
        <v>156.38562661667979</v>
      </c>
      <c r="C22" s="47">
        <f t="shared" si="20"/>
        <v>2172.0225918983306</v>
      </c>
      <c r="D22" s="47" t="s">
        <v>74</v>
      </c>
      <c r="E22" s="47" t="s">
        <v>75</v>
      </c>
      <c r="F22" s="20">
        <v>903480</v>
      </c>
      <c r="G22" s="20">
        <v>99187</v>
      </c>
      <c r="H22" s="11" t="s">
        <v>3</v>
      </c>
      <c r="I22" s="20">
        <v>12</v>
      </c>
      <c r="J22" s="20">
        <v>96</v>
      </c>
      <c r="K22" s="123">
        <f t="shared" si="28"/>
        <v>2496</v>
      </c>
      <c r="L22" s="195">
        <v>2496</v>
      </c>
      <c r="M22" s="179">
        <f t="shared" si="1"/>
        <v>26</v>
      </c>
      <c r="N22" s="84">
        <f t="shared" si="2"/>
        <v>1</v>
      </c>
      <c r="O22" s="148">
        <v>137.6</v>
      </c>
      <c r="P22" s="135">
        <f t="shared" si="21"/>
        <v>11.466666666666667</v>
      </c>
      <c r="Q22" s="9">
        <f t="shared" si="3"/>
        <v>0</v>
      </c>
      <c r="R22" s="9">
        <v>0</v>
      </c>
      <c r="S22" s="29">
        <f t="shared" si="4"/>
        <v>0</v>
      </c>
      <c r="T22" s="29">
        <v>0</v>
      </c>
      <c r="U22" s="121">
        <f t="shared" si="22"/>
        <v>0</v>
      </c>
      <c r="V22" s="121">
        <v>0</v>
      </c>
      <c r="W22" s="36">
        <f>VLOOKUP(F22,'[1]Proposta HNK para Tenda'!$F:$T,15,0)</f>
        <v>13.49</v>
      </c>
      <c r="X22" s="36">
        <f>VLOOKUP(F22,'[1]Proposta HNK para Tenda'!$F:$U,16,0)</f>
        <v>13.49</v>
      </c>
      <c r="Y22" s="36"/>
      <c r="Z22" s="45">
        <f t="shared" si="5"/>
        <v>0</v>
      </c>
      <c r="AA22" s="8">
        <f t="shared" si="6"/>
        <v>343449.59999999998</v>
      </c>
      <c r="AB22" s="32">
        <f>L22*12*0.6/100</f>
        <v>179.71200000000002</v>
      </c>
      <c r="AC22" s="43"/>
      <c r="AD22" s="44">
        <f t="shared" si="7"/>
        <v>0</v>
      </c>
      <c r="AE22" s="39">
        <f t="shared" si="8"/>
        <v>0</v>
      </c>
      <c r="AF22" s="39">
        <f t="shared" si="23"/>
        <v>0</v>
      </c>
      <c r="AH22" s="137">
        <v>0</v>
      </c>
      <c r="AI22" s="137">
        <f t="shared" si="9"/>
        <v>0</v>
      </c>
      <c r="AJ22" s="137">
        <f t="shared" si="10"/>
        <v>0</v>
      </c>
      <c r="AK22" s="7"/>
      <c r="AL22" s="7">
        <f t="shared" si="11"/>
        <v>0</v>
      </c>
      <c r="AM22" s="7">
        <f t="shared" si="12"/>
        <v>0</v>
      </c>
      <c r="AN22" s="7">
        <v>0</v>
      </c>
      <c r="AO22" s="137">
        <f t="shared" si="13"/>
        <v>0</v>
      </c>
      <c r="AP22" s="137">
        <f t="shared" si="14"/>
        <v>0</v>
      </c>
      <c r="AQ22" s="7">
        <f t="shared" si="15"/>
        <v>0</v>
      </c>
      <c r="AR22" s="7">
        <f t="shared" si="15"/>
        <v>0</v>
      </c>
      <c r="AS22" s="40">
        <f t="shared" si="16"/>
        <v>0</v>
      </c>
      <c r="AT22" s="83">
        <f t="shared" si="24"/>
        <v>0</v>
      </c>
      <c r="AU22" s="7">
        <f t="shared" si="17"/>
        <v>11.466666666666667</v>
      </c>
      <c r="AV22" s="40">
        <f t="shared" si="18"/>
        <v>11.466666666666667</v>
      </c>
      <c r="AW22" s="41">
        <f t="shared" si="19"/>
        <v>0.14998764516926119</v>
      </c>
      <c r="AY22" s="150">
        <f t="shared" si="29"/>
        <v>13.49</v>
      </c>
      <c r="AZ22" s="151">
        <f t="shared" si="27"/>
        <v>0</v>
      </c>
      <c r="BA22" s="160">
        <f t="shared" si="25"/>
        <v>13.49</v>
      </c>
      <c r="BB22" s="164"/>
      <c r="BD22" s="86" t="s">
        <v>121</v>
      </c>
      <c r="BE22" s="86" t="s">
        <v>263</v>
      </c>
      <c r="BF22" s="87" t="s">
        <v>268</v>
      </c>
      <c r="BG22" s="87">
        <v>392558326113</v>
      </c>
      <c r="BH22" s="86" t="s">
        <v>269</v>
      </c>
      <c r="BI22" s="86">
        <v>2911</v>
      </c>
      <c r="BJ22" s="86" t="s">
        <v>270</v>
      </c>
      <c r="BK22" s="86">
        <v>12321150</v>
      </c>
      <c r="BL22" s="86" t="s">
        <v>271</v>
      </c>
      <c r="BM22" s="86" t="s">
        <v>108</v>
      </c>
    </row>
    <row r="23" spans="1:65" ht="14.25" customHeight="1" thickBot="1" x14ac:dyDescent="0.25">
      <c r="A23" s="50">
        <v>7.9200000000000007E-2</v>
      </c>
      <c r="B23" s="27">
        <v>26</v>
      </c>
      <c r="C23" s="47">
        <f t="shared" si="20"/>
        <v>328.28282828282823</v>
      </c>
      <c r="D23" s="47" t="s">
        <v>74</v>
      </c>
      <c r="E23" s="47" t="s">
        <v>78</v>
      </c>
      <c r="F23" s="20">
        <v>904701</v>
      </c>
      <c r="G23" s="20">
        <v>1022426</v>
      </c>
      <c r="H23" s="11" t="s">
        <v>60</v>
      </c>
      <c r="I23" s="22">
        <v>24</v>
      </c>
      <c r="J23" s="22">
        <v>91</v>
      </c>
      <c r="K23" s="123">
        <f>J23*24</f>
        <v>2184</v>
      </c>
      <c r="L23" s="195">
        <f>K23*2</f>
        <v>4368</v>
      </c>
      <c r="M23" s="179">
        <f t="shared" si="1"/>
        <v>48</v>
      </c>
      <c r="N23" s="84">
        <f t="shared" si="2"/>
        <v>2</v>
      </c>
      <c r="O23" s="148">
        <v>122.2</v>
      </c>
      <c r="P23" s="135">
        <f t="shared" si="21"/>
        <v>5.0916666666666668</v>
      </c>
      <c r="Q23" s="13">
        <f t="shared" si="3"/>
        <v>1.44</v>
      </c>
      <c r="R23" s="13">
        <v>0.06</v>
      </c>
      <c r="S23" s="74">
        <f t="shared" si="4"/>
        <v>1.2000000000000002</v>
      </c>
      <c r="T23" s="74">
        <v>0.05</v>
      </c>
      <c r="U23" s="121">
        <f t="shared" si="22"/>
        <v>0.11</v>
      </c>
      <c r="V23" s="121">
        <v>0.11</v>
      </c>
      <c r="W23" s="36">
        <v>5.49</v>
      </c>
      <c r="X23" s="36">
        <v>5.09</v>
      </c>
      <c r="Y23" s="36"/>
      <c r="Z23" s="45">
        <f t="shared" si="5"/>
        <v>11531.52</v>
      </c>
      <c r="AA23" s="8">
        <f t="shared" si="6"/>
        <v>533769.6</v>
      </c>
      <c r="AB23" s="32">
        <f>L23*24*0.33/100</f>
        <v>345.94560000000007</v>
      </c>
      <c r="AC23" s="43"/>
      <c r="AD23" s="44">
        <f t="shared" si="7"/>
        <v>0.11949300000000003</v>
      </c>
      <c r="AE23" s="39">
        <f t="shared" si="8"/>
        <v>0.11</v>
      </c>
      <c r="AF23" s="39">
        <f t="shared" si="23"/>
        <v>9.4930000000000292E-3</v>
      </c>
      <c r="AH23" s="175">
        <v>36.21</v>
      </c>
      <c r="AI23" s="175">
        <f t="shared" si="9"/>
        <v>12526.690176000004</v>
      </c>
      <c r="AJ23" s="175">
        <f t="shared" si="10"/>
        <v>0.11949300000000003</v>
      </c>
      <c r="AK23" s="7"/>
      <c r="AL23" s="7">
        <f t="shared" si="11"/>
        <v>0</v>
      </c>
      <c r="AM23" s="7">
        <f t="shared" si="12"/>
        <v>0</v>
      </c>
      <c r="AN23" s="7">
        <v>0</v>
      </c>
      <c r="AO23" s="137">
        <f t="shared" si="13"/>
        <v>0</v>
      </c>
      <c r="AP23" s="137">
        <f t="shared" si="14"/>
        <v>0</v>
      </c>
      <c r="AQ23" s="7">
        <f t="shared" si="15"/>
        <v>12526.690176000004</v>
      </c>
      <c r="AR23" s="7">
        <f t="shared" si="15"/>
        <v>0.11949300000000003</v>
      </c>
      <c r="AS23" s="40">
        <f t="shared" si="16"/>
        <v>11531.52</v>
      </c>
      <c r="AT23" s="40">
        <f t="shared" si="24"/>
        <v>995.17017600000327</v>
      </c>
      <c r="AU23" s="7">
        <f t="shared" si="17"/>
        <v>5.0916666666666668</v>
      </c>
      <c r="AV23" s="40">
        <f t="shared" si="18"/>
        <v>4.9816666666666674</v>
      </c>
      <c r="AW23" s="41">
        <f t="shared" si="19"/>
        <v>2.1283562540929765E-2</v>
      </c>
      <c r="AY23" s="150">
        <f t="shared" si="29"/>
        <v>5.09</v>
      </c>
      <c r="AZ23" s="151">
        <f t="shared" si="27"/>
        <v>0</v>
      </c>
      <c r="BA23" s="160">
        <f t="shared" si="25"/>
        <v>5.09</v>
      </c>
      <c r="BB23" s="164"/>
      <c r="BD23" s="86" t="s">
        <v>121</v>
      </c>
      <c r="BE23" s="86" t="s">
        <v>263</v>
      </c>
      <c r="BF23" s="87" t="s">
        <v>268</v>
      </c>
      <c r="BG23" s="87">
        <v>392558326113</v>
      </c>
      <c r="BH23" s="86" t="s">
        <v>269</v>
      </c>
      <c r="BI23" s="86">
        <v>2911</v>
      </c>
      <c r="BJ23" s="86" t="s">
        <v>270</v>
      </c>
      <c r="BK23" s="86">
        <v>12321150</v>
      </c>
      <c r="BL23" s="86" t="s">
        <v>271</v>
      </c>
      <c r="BM23" s="86" t="s">
        <v>108</v>
      </c>
    </row>
    <row r="24" spans="1:65" ht="14.25" customHeight="1" thickBot="1" x14ac:dyDescent="0.25">
      <c r="A24" s="50">
        <v>7.9200000000000007E-2</v>
      </c>
      <c r="B24" s="27">
        <v>26</v>
      </c>
      <c r="C24" s="47">
        <f t="shared" si="20"/>
        <v>328.28282828282823</v>
      </c>
      <c r="D24" s="47" t="s">
        <v>74</v>
      </c>
      <c r="E24" s="47" t="s">
        <v>78</v>
      </c>
      <c r="F24" s="186" t="s">
        <v>253</v>
      </c>
      <c r="G24" s="186">
        <v>1228753</v>
      </c>
      <c r="H24" s="187" t="s">
        <v>246</v>
      </c>
      <c r="I24" s="186">
        <v>24</v>
      </c>
      <c r="J24" s="186">
        <v>91</v>
      </c>
      <c r="K24" s="188">
        <f>J24*24</f>
        <v>2184</v>
      </c>
      <c r="L24" s="195">
        <f>K24*1</f>
        <v>2184</v>
      </c>
      <c r="M24" s="179">
        <f t="shared" si="1"/>
        <v>24</v>
      </c>
      <c r="N24" s="84">
        <f t="shared" si="2"/>
        <v>1</v>
      </c>
      <c r="O24" s="148">
        <v>122.2</v>
      </c>
      <c r="P24" s="135">
        <f t="shared" si="21"/>
        <v>5.0916666666666668</v>
      </c>
      <c r="Q24" s="13">
        <f t="shared" si="3"/>
        <v>1.44</v>
      </c>
      <c r="R24" s="13">
        <v>0.06</v>
      </c>
      <c r="S24" s="74">
        <f t="shared" si="4"/>
        <v>1.2000000000000002</v>
      </c>
      <c r="T24" s="74">
        <v>0.05</v>
      </c>
      <c r="U24" s="121">
        <f t="shared" si="22"/>
        <v>0.11</v>
      </c>
      <c r="V24" s="121">
        <v>0.11</v>
      </c>
      <c r="W24" s="36">
        <v>5.99</v>
      </c>
      <c r="X24" s="36">
        <v>5.7900000000000009</v>
      </c>
      <c r="Y24" s="36"/>
      <c r="Z24" s="45">
        <f t="shared" si="5"/>
        <v>5765.76</v>
      </c>
      <c r="AA24" s="8">
        <f t="shared" si="6"/>
        <v>266884.8</v>
      </c>
      <c r="AB24" s="32">
        <f>L24*24*0.33/100</f>
        <v>172.97280000000003</v>
      </c>
      <c r="AC24" s="43"/>
      <c r="AD24" s="44">
        <f t="shared" si="7"/>
        <v>0.11949300000000003</v>
      </c>
      <c r="AE24" s="39">
        <f t="shared" si="8"/>
        <v>0.11</v>
      </c>
      <c r="AF24" s="39">
        <f t="shared" si="23"/>
        <v>9.4930000000000292E-3</v>
      </c>
      <c r="AH24" s="175">
        <v>36.21</v>
      </c>
      <c r="AI24" s="175">
        <f t="shared" si="9"/>
        <v>6263.3450880000019</v>
      </c>
      <c r="AJ24" s="175">
        <f t="shared" si="10"/>
        <v>0.11949300000000003</v>
      </c>
      <c r="AK24" s="7"/>
      <c r="AL24" s="7">
        <f t="shared" si="11"/>
        <v>0</v>
      </c>
      <c r="AM24" s="7">
        <f t="shared" si="12"/>
        <v>0</v>
      </c>
      <c r="AN24" s="7">
        <v>0</v>
      </c>
      <c r="AO24" s="137">
        <f t="shared" si="13"/>
        <v>0</v>
      </c>
      <c r="AP24" s="137">
        <f t="shared" si="14"/>
        <v>0</v>
      </c>
      <c r="AQ24" s="7">
        <f t="shared" si="15"/>
        <v>6263.3450880000019</v>
      </c>
      <c r="AR24" s="7">
        <f t="shared" si="15"/>
        <v>0.11949300000000003</v>
      </c>
      <c r="AS24" s="40">
        <f t="shared" si="16"/>
        <v>5765.76</v>
      </c>
      <c r="AT24" s="40">
        <f t="shared" si="24"/>
        <v>497.58508800000163</v>
      </c>
      <c r="AU24" s="7">
        <f t="shared" si="17"/>
        <v>5.0916666666666668</v>
      </c>
      <c r="AV24" s="40">
        <f t="shared" si="18"/>
        <v>4.9816666666666674</v>
      </c>
      <c r="AW24" s="41">
        <f t="shared" si="19"/>
        <v>0.13960852043753599</v>
      </c>
      <c r="AY24" s="150">
        <f t="shared" si="29"/>
        <v>5.7900000000000009</v>
      </c>
      <c r="AZ24" s="151">
        <f t="shared" si="27"/>
        <v>0</v>
      </c>
      <c r="BA24" s="160">
        <f t="shared" si="25"/>
        <v>5.7900000000000009</v>
      </c>
      <c r="BB24" s="164"/>
      <c r="BD24" s="86" t="s">
        <v>121</v>
      </c>
      <c r="BE24" s="86" t="s">
        <v>263</v>
      </c>
      <c r="BF24" s="87" t="s">
        <v>268</v>
      </c>
      <c r="BG24" s="87">
        <v>392558326113</v>
      </c>
      <c r="BH24" s="86" t="s">
        <v>269</v>
      </c>
      <c r="BI24" s="86">
        <v>2911</v>
      </c>
      <c r="BJ24" s="86" t="s">
        <v>270</v>
      </c>
      <c r="BK24" s="86">
        <v>12321150</v>
      </c>
      <c r="BL24" s="86" t="s">
        <v>271</v>
      </c>
      <c r="BM24" s="86" t="s">
        <v>108</v>
      </c>
    </row>
    <row r="25" spans="1:65" ht="14.25" customHeight="1" thickBot="1" x14ac:dyDescent="0.25">
      <c r="A25" s="52">
        <f>5*2/100</f>
        <v>0.1</v>
      </c>
      <c r="B25" s="27">
        <f>VLOOKUP(F25,Planilha3!D:F,3,0)</f>
        <v>282.36335043220521</v>
      </c>
      <c r="C25" s="47">
        <f t="shared" si="20"/>
        <v>2823.633504322052</v>
      </c>
      <c r="D25" s="47" t="s">
        <v>74</v>
      </c>
      <c r="E25" s="47" t="s">
        <v>75</v>
      </c>
      <c r="F25" s="20">
        <v>903483</v>
      </c>
      <c r="G25" s="20">
        <v>75013</v>
      </c>
      <c r="H25" s="11" t="s">
        <v>0</v>
      </c>
      <c r="I25" s="20">
        <v>2</v>
      </c>
      <c r="J25" s="20">
        <v>90</v>
      </c>
      <c r="K25" s="123">
        <f>J25*26</f>
        <v>2340</v>
      </c>
      <c r="L25" s="195">
        <v>9360</v>
      </c>
      <c r="M25" s="179">
        <f t="shared" si="1"/>
        <v>104</v>
      </c>
      <c r="N25" s="84">
        <f t="shared" si="2"/>
        <v>4</v>
      </c>
      <c r="O25" s="148">
        <v>177.63</v>
      </c>
      <c r="P25" s="135">
        <f t="shared" si="21"/>
        <v>88.814999999999998</v>
      </c>
      <c r="Q25" s="9">
        <f t="shared" si="3"/>
        <v>0</v>
      </c>
      <c r="R25" s="9">
        <v>0</v>
      </c>
      <c r="S25" s="29">
        <f t="shared" si="4"/>
        <v>0</v>
      </c>
      <c r="T25" s="29">
        <v>0</v>
      </c>
      <c r="U25" s="121">
        <f t="shared" si="22"/>
        <v>0</v>
      </c>
      <c r="V25" s="121">
        <v>0</v>
      </c>
      <c r="W25" s="36">
        <f>VLOOKUP(F25,'[1]Proposta HNK para Tenda'!$F:$T,15,0)</f>
        <v>113.99</v>
      </c>
      <c r="X25" s="36">
        <f>VLOOKUP(F25,'[1]Proposta HNK para Tenda'!$F:$U,16,0)</f>
        <v>113.99</v>
      </c>
      <c r="Y25" s="36"/>
      <c r="Z25" s="45">
        <f t="shared" si="5"/>
        <v>0</v>
      </c>
      <c r="AA25" s="8">
        <f t="shared" si="6"/>
        <v>1662616.8</v>
      </c>
      <c r="AB25" s="32">
        <f>L25*2*5/100</f>
        <v>936</v>
      </c>
      <c r="AC25" s="43"/>
      <c r="AD25" s="44">
        <f t="shared" si="7"/>
        <v>0</v>
      </c>
      <c r="AE25" s="39">
        <f t="shared" si="8"/>
        <v>0</v>
      </c>
      <c r="AF25" s="39">
        <f t="shared" si="23"/>
        <v>0</v>
      </c>
      <c r="AH25" s="137">
        <v>0</v>
      </c>
      <c r="AI25" s="137">
        <f t="shared" si="9"/>
        <v>0</v>
      </c>
      <c r="AJ25" s="137">
        <f t="shared" si="10"/>
        <v>0</v>
      </c>
      <c r="AK25" s="7"/>
      <c r="AL25" s="7">
        <f t="shared" si="11"/>
        <v>0</v>
      </c>
      <c r="AM25" s="7">
        <f t="shared" si="12"/>
        <v>0</v>
      </c>
      <c r="AN25" s="7">
        <v>0</v>
      </c>
      <c r="AO25" s="137">
        <f t="shared" si="13"/>
        <v>0</v>
      </c>
      <c r="AP25" s="137">
        <f t="shared" si="14"/>
        <v>0</v>
      </c>
      <c r="AQ25" s="7">
        <f t="shared" si="15"/>
        <v>0</v>
      </c>
      <c r="AR25" s="7">
        <f t="shared" si="15"/>
        <v>0</v>
      </c>
      <c r="AS25" s="40">
        <f t="shared" si="16"/>
        <v>0</v>
      </c>
      <c r="AT25" s="40">
        <f t="shared" si="24"/>
        <v>0</v>
      </c>
      <c r="AU25" s="7">
        <f t="shared" si="17"/>
        <v>88.814999999999998</v>
      </c>
      <c r="AV25" s="40">
        <f t="shared" si="18"/>
        <v>88.814999999999998</v>
      </c>
      <c r="AW25" s="41">
        <f t="shared" si="19"/>
        <v>0.22085270637775242</v>
      </c>
      <c r="AY25" s="150">
        <f t="shared" si="29"/>
        <v>113.99</v>
      </c>
      <c r="AZ25" s="151">
        <f t="shared" si="27"/>
        <v>0</v>
      </c>
      <c r="BA25" s="160">
        <f t="shared" si="25"/>
        <v>113.99</v>
      </c>
      <c r="BB25" s="164"/>
      <c r="BD25" s="86" t="s">
        <v>117</v>
      </c>
      <c r="BE25" s="86" t="s">
        <v>263</v>
      </c>
      <c r="BF25" s="87" t="s">
        <v>275</v>
      </c>
      <c r="BG25" s="87" t="s">
        <v>276</v>
      </c>
      <c r="BH25" s="86" t="s">
        <v>277</v>
      </c>
      <c r="BI25" s="86">
        <v>199</v>
      </c>
      <c r="BJ25" s="86" t="s">
        <v>118</v>
      </c>
      <c r="BK25" s="86">
        <v>84043610</v>
      </c>
      <c r="BL25" s="86" t="s">
        <v>117</v>
      </c>
      <c r="BM25" s="86" t="s">
        <v>119</v>
      </c>
    </row>
    <row r="26" spans="1:65" ht="14.25" customHeight="1" thickBot="1" x14ac:dyDescent="0.25">
      <c r="A26" s="52">
        <f>0.355*6/100</f>
        <v>2.1299999999999999E-2</v>
      </c>
      <c r="B26" s="27"/>
      <c r="C26" s="47">
        <f t="shared" si="20"/>
        <v>0</v>
      </c>
      <c r="D26" s="47" t="s">
        <v>74</v>
      </c>
      <c r="E26" s="47" t="s">
        <v>141</v>
      </c>
      <c r="F26" s="189" t="s">
        <v>252</v>
      </c>
      <c r="G26" s="189">
        <v>1228751</v>
      </c>
      <c r="H26" s="187" t="s">
        <v>254</v>
      </c>
      <c r="I26" s="186">
        <v>6</v>
      </c>
      <c r="J26" s="186">
        <v>350</v>
      </c>
      <c r="K26" s="188">
        <f t="shared" ref="K26:K28" si="30">J26*26</f>
        <v>9100</v>
      </c>
      <c r="L26" s="196">
        <f>K26*1</f>
        <v>9100</v>
      </c>
      <c r="M26" s="179">
        <f t="shared" si="1"/>
        <v>26</v>
      </c>
      <c r="N26" s="84">
        <f t="shared" si="2"/>
        <v>1</v>
      </c>
      <c r="O26" s="148">
        <v>33.07</v>
      </c>
      <c r="P26" s="135">
        <f t="shared" si="21"/>
        <v>5.5116666666666667</v>
      </c>
      <c r="Q26" s="9">
        <f t="shared" si="3"/>
        <v>0</v>
      </c>
      <c r="R26" s="9">
        <v>0</v>
      </c>
      <c r="S26" s="29">
        <f t="shared" si="4"/>
        <v>0</v>
      </c>
      <c r="T26" s="29">
        <v>0</v>
      </c>
      <c r="U26" s="121">
        <f t="shared" si="22"/>
        <v>0</v>
      </c>
      <c r="V26" s="121">
        <v>0</v>
      </c>
      <c r="W26" s="36">
        <v>6.99</v>
      </c>
      <c r="X26" s="36">
        <v>6.49</v>
      </c>
      <c r="Y26" s="36"/>
      <c r="Z26" s="45">
        <f t="shared" si="5"/>
        <v>0</v>
      </c>
      <c r="AA26" s="8">
        <f t="shared" si="6"/>
        <v>300937</v>
      </c>
      <c r="AB26" s="32">
        <f>L26*I26*0.35/100</f>
        <v>191.1</v>
      </c>
      <c r="AC26" s="43"/>
      <c r="AD26" s="44">
        <f t="shared" si="7"/>
        <v>0</v>
      </c>
      <c r="AE26" s="39">
        <f t="shared" si="8"/>
        <v>0</v>
      </c>
      <c r="AF26" s="39">
        <f t="shared" si="23"/>
        <v>0</v>
      </c>
      <c r="AH26" s="137">
        <v>0</v>
      </c>
      <c r="AI26" s="137">
        <f t="shared" si="9"/>
        <v>0</v>
      </c>
      <c r="AJ26" s="137">
        <f t="shared" si="10"/>
        <v>0</v>
      </c>
      <c r="AK26" s="7"/>
      <c r="AL26" s="7">
        <f t="shared" si="11"/>
        <v>0</v>
      </c>
      <c r="AM26" s="7">
        <f t="shared" si="12"/>
        <v>0</v>
      </c>
      <c r="AN26" s="7">
        <v>0</v>
      </c>
      <c r="AO26" s="137">
        <f t="shared" si="13"/>
        <v>0</v>
      </c>
      <c r="AP26" s="137">
        <f t="shared" si="14"/>
        <v>0</v>
      </c>
      <c r="AQ26" s="7">
        <f t="shared" si="15"/>
        <v>0</v>
      </c>
      <c r="AR26" s="7">
        <f t="shared" si="15"/>
        <v>0</v>
      </c>
      <c r="AS26" s="40">
        <f t="shared" si="16"/>
        <v>0</v>
      </c>
      <c r="AT26" s="40">
        <f t="shared" si="24"/>
        <v>0</v>
      </c>
      <c r="AU26" s="7">
        <f t="shared" si="17"/>
        <v>5.5116666666666667</v>
      </c>
      <c r="AV26" s="40">
        <f t="shared" si="18"/>
        <v>5.5116666666666667</v>
      </c>
      <c r="AW26" s="41">
        <f t="shared" si="19"/>
        <v>0.15074473549049822</v>
      </c>
      <c r="AY26" s="150">
        <f t="shared" si="29"/>
        <v>6.49</v>
      </c>
      <c r="AZ26" s="151">
        <f t="shared" si="27"/>
        <v>0</v>
      </c>
      <c r="BA26" s="160">
        <f t="shared" si="25"/>
        <v>6.49</v>
      </c>
      <c r="BB26" s="164"/>
      <c r="BD26" s="86" t="s">
        <v>106</v>
      </c>
      <c r="BE26" s="86" t="s">
        <v>263</v>
      </c>
      <c r="BF26" s="87" t="s">
        <v>264</v>
      </c>
      <c r="BG26" s="87">
        <v>387000650117</v>
      </c>
      <c r="BH26" s="86" t="s">
        <v>265</v>
      </c>
      <c r="BI26" s="86">
        <v>2222</v>
      </c>
      <c r="BJ26" s="86" t="s">
        <v>266</v>
      </c>
      <c r="BK26" s="86">
        <v>13312250</v>
      </c>
      <c r="BL26" s="86" t="s">
        <v>267</v>
      </c>
      <c r="BM26" s="86" t="s">
        <v>108</v>
      </c>
    </row>
    <row r="27" spans="1:65" ht="14.25" customHeight="1" thickBot="1" x14ac:dyDescent="0.25">
      <c r="A27" s="52">
        <f>0.355*24/100</f>
        <v>8.5199999999999998E-2</v>
      </c>
      <c r="B27" s="27"/>
      <c r="C27" s="47">
        <f t="shared" si="20"/>
        <v>0</v>
      </c>
      <c r="D27" s="47" t="s">
        <v>74</v>
      </c>
      <c r="E27" s="47" t="s">
        <v>141</v>
      </c>
      <c r="F27" s="190" t="s">
        <v>250</v>
      </c>
      <c r="G27" s="190">
        <v>1149563</v>
      </c>
      <c r="H27" s="191" t="s">
        <v>255</v>
      </c>
      <c r="I27" s="192">
        <v>24</v>
      </c>
      <c r="J27" s="192">
        <v>84</v>
      </c>
      <c r="K27" s="193">
        <f t="shared" si="30"/>
        <v>2184</v>
      </c>
      <c r="L27" s="196">
        <f>K27*2</f>
        <v>4368</v>
      </c>
      <c r="M27" s="179">
        <f t="shared" si="1"/>
        <v>52</v>
      </c>
      <c r="N27" s="84">
        <f t="shared" si="2"/>
        <v>2</v>
      </c>
      <c r="O27" s="148">
        <v>170.82</v>
      </c>
      <c r="P27" s="135">
        <f t="shared" si="21"/>
        <v>7.1174999999999997</v>
      </c>
      <c r="Q27" s="9">
        <f t="shared" si="3"/>
        <v>0</v>
      </c>
      <c r="R27" s="9">
        <v>0</v>
      </c>
      <c r="S27" s="29">
        <f t="shared" si="4"/>
        <v>0</v>
      </c>
      <c r="T27" s="29">
        <v>0</v>
      </c>
      <c r="U27" s="121">
        <f t="shared" si="22"/>
        <v>0</v>
      </c>
      <c r="V27" s="121">
        <v>0</v>
      </c>
      <c r="W27" s="36">
        <v>9.49</v>
      </c>
      <c r="X27" s="36">
        <v>8.49</v>
      </c>
      <c r="Y27" s="36"/>
      <c r="Z27" s="45">
        <f t="shared" si="5"/>
        <v>0</v>
      </c>
      <c r="AA27" s="8">
        <f t="shared" si="6"/>
        <v>746141.76</v>
      </c>
      <c r="AB27" s="32">
        <f t="shared" ref="AB27" si="31">L27*I27*0.35/100</f>
        <v>366.91199999999998</v>
      </c>
      <c r="AC27" s="43"/>
      <c r="AD27" s="44">
        <f t="shared" si="7"/>
        <v>0</v>
      </c>
      <c r="AE27" s="39">
        <f t="shared" si="8"/>
        <v>0</v>
      </c>
      <c r="AF27" s="39">
        <f t="shared" si="23"/>
        <v>0</v>
      </c>
      <c r="AH27" s="137">
        <v>0</v>
      </c>
      <c r="AI27" s="137">
        <f t="shared" si="9"/>
        <v>0</v>
      </c>
      <c r="AJ27" s="137">
        <f t="shared" si="10"/>
        <v>0</v>
      </c>
      <c r="AK27" s="7"/>
      <c r="AL27" s="7">
        <f t="shared" si="11"/>
        <v>0</v>
      </c>
      <c r="AM27" s="7">
        <f t="shared" si="12"/>
        <v>0</v>
      </c>
      <c r="AN27" s="7">
        <v>0</v>
      </c>
      <c r="AO27" s="137">
        <f t="shared" si="13"/>
        <v>0</v>
      </c>
      <c r="AP27" s="137">
        <f t="shared" si="14"/>
        <v>0</v>
      </c>
      <c r="AQ27" s="7">
        <f t="shared" si="15"/>
        <v>0</v>
      </c>
      <c r="AR27" s="7">
        <f t="shared" si="15"/>
        <v>0</v>
      </c>
      <c r="AS27" s="40">
        <f t="shared" si="16"/>
        <v>0</v>
      </c>
      <c r="AT27" s="40">
        <f t="shared" si="24"/>
        <v>0</v>
      </c>
      <c r="AU27" s="7">
        <f t="shared" si="17"/>
        <v>7.1174999999999997</v>
      </c>
      <c r="AV27" s="40">
        <f t="shared" si="18"/>
        <v>7.1174999999999997</v>
      </c>
      <c r="AW27" s="41">
        <f t="shared" si="19"/>
        <v>0.16166077738515908</v>
      </c>
      <c r="AY27" s="150">
        <f t="shared" si="29"/>
        <v>8.49</v>
      </c>
      <c r="AZ27" s="151">
        <f t="shared" si="27"/>
        <v>0</v>
      </c>
      <c r="BA27" s="160">
        <f t="shared" si="25"/>
        <v>8.49</v>
      </c>
      <c r="BB27" s="164"/>
      <c r="BD27" s="86" t="s">
        <v>106</v>
      </c>
      <c r="BE27" s="86" t="s">
        <v>263</v>
      </c>
      <c r="BF27" s="87" t="s">
        <v>264</v>
      </c>
      <c r="BG27" s="87">
        <v>387000650117</v>
      </c>
      <c r="BH27" s="86" t="s">
        <v>265</v>
      </c>
      <c r="BI27" s="86">
        <v>2222</v>
      </c>
      <c r="BJ27" s="86" t="s">
        <v>266</v>
      </c>
      <c r="BK27" s="86">
        <v>13312250</v>
      </c>
      <c r="BL27" s="86" t="s">
        <v>267</v>
      </c>
      <c r="BM27" s="86" t="s">
        <v>108</v>
      </c>
    </row>
    <row r="28" spans="1:65" ht="14.25" customHeight="1" thickBot="1" x14ac:dyDescent="0.25">
      <c r="A28" s="52">
        <f>0.6*12/100</f>
        <v>7.1999999999999995E-2</v>
      </c>
      <c r="B28" s="27"/>
      <c r="C28" s="47">
        <f t="shared" si="20"/>
        <v>0</v>
      </c>
      <c r="D28" s="47" t="s">
        <v>74</v>
      </c>
      <c r="E28" s="47" t="s">
        <v>141</v>
      </c>
      <c r="F28" s="190" t="s">
        <v>251</v>
      </c>
      <c r="G28" s="190">
        <v>1149565</v>
      </c>
      <c r="H28" s="191" t="s">
        <v>256</v>
      </c>
      <c r="I28" s="192">
        <v>12</v>
      </c>
      <c r="J28" s="192">
        <v>60</v>
      </c>
      <c r="K28" s="193">
        <f t="shared" si="30"/>
        <v>1560</v>
      </c>
      <c r="L28" s="196">
        <f>J28*15</f>
        <v>900</v>
      </c>
      <c r="M28" s="179">
        <f t="shared" si="1"/>
        <v>15</v>
      </c>
      <c r="N28" s="84">
        <f t="shared" si="2"/>
        <v>0.57692307692307687</v>
      </c>
      <c r="O28" s="148">
        <v>136.71</v>
      </c>
      <c r="P28" s="135">
        <f t="shared" si="21"/>
        <v>11.3925</v>
      </c>
      <c r="Q28" s="9">
        <f t="shared" si="3"/>
        <v>0</v>
      </c>
      <c r="R28" s="9">
        <v>0</v>
      </c>
      <c r="S28" s="29">
        <f t="shared" si="4"/>
        <v>0</v>
      </c>
      <c r="T28" s="29">
        <v>0</v>
      </c>
      <c r="U28" s="121">
        <f t="shared" si="22"/>
        <v>0</v>
      </c>
      <c r="V28" s="121">
        <v>0</v>
      </c>
      <c r="W28" s="36">
        <v>15.19</v>
      </c>
      <c r="X28" s="36">
        <v>13.29</v>
      </c>
      <c r="Y28" s="36"/>
      <c r="Z28" s="45">
        <f t="shared" si="5"/>
        <v>0</v>
      </c>
      <c r="AA28" s="8">
        <f t="shared" si="6"/>
        <v>123039</v>
      </c>
      <c r="AB28" s="32">
        <f>L28*I28*0.6/100</f>
        <v>64.8</v>
      </c>
      <c r="AC28" s="43"/>
      <c r="AD28" s="44">
        <f t="shared" si="7"/>
        <v>0</v>
      </c>
      <c r="AE28" s="39">
        <f t="shared" si="8"/>
        <v>0</v>
      </c>
      <c r="AF28" s="39">
        <f t="shared" si="23"/>
        <v>0</v>
      </c>
      <c r="AH28" s="137">
        <v>0</v>
      </c>
      <c r="AI28" s="137">
        <f t="shared" si="9"/>
        <v>0</v>
      </c>
      <c r="AJ28" s="137">
        <f t="shared" si="10"/>
        <v>0</v>
      </c>
      <c r="AK28" s="7"/>
      <c r="AL28" s="7">
        <f t="shared" si="11"/>
        <v>0</v>
      </c>
      <c r="AM28" s="7">
        <f t="shared" si="12"/>
        <v>0</v>
      </c>
      <c r="AN28" s="7">
        <v>0</v>
      </c>
      <c r="AO28" s="137">
        <f t="shared" si="13"/>
        <v>0</v>
      </c>
      <c r="AP28" s="137">
        <f t="shared" si="14"/>
        <v>0</v>
      </c>
      <c r="AQ28" s="7">
        <f t="shared" si="15"/>
        <v>0</v>
      </c>
      <c r="AR28" s="7">
        <f t="shared" si="15"/>
        <v>0</v>
      </c>
      <c r="AS28" s="40">
        <f t="shared" si="16"/>
        <v>0</v>
      </c>
      <c r="AT28" s="40">
        <f t="shared" si="24"/>
        <v>0</v>
      </c>
      <c r="AU28" s="7">
        <f t="shared" si="17"/>
        <v>11.3925</v>
      </c>
      <c r="AV28" s="40">
        <f t="shared" si="18"/>
        <v>11.3925</v>
      </c>
      <c r="AW28" s="41">
        <f t="shared" si="19"/>
        <v>0.14277652370203153</v>
      </c>
      <c r="AY28" s="150">
        <f t="shared" si="29"/>
        <v>13.29</v>
      </c>
      <c r="AZ28" s="151">
        <f t="shared" si="27"/>
        <v>0</v>
      </c>
      <c r="BA28" s="160">
        <f t="shared" si="25"/>
        <v>13.29</v>
      </c>
      <c r="BB28" s="164"/>
      <c r="BD28" s="86" t="s">
        <v>106</v>
      </c>
      <c r="BE28" s="86" t="s">
        <v>263</v>
      </c>
      <c r="BF28" s="87" t="s">
        <v>264</v>
      </c>
      <c r="BG28" s="87">
        <v>387000650117</v>
      </c>
      <c r="BH28" s="86" t="s">
        <v>265</v>
      </c>
      <c r="BI28" s="86">
        <v>2222</v>
      </c>
      <c r="BJ28" s="86" t="s">
        <v>266</v>
      </c>
      <c r="BK28" s="86">
        <v>13312250</v>
      </c>
      <c r="BL28" s="86" t="s">
        <v>267</v>
      </c>
      <c r="BM28" s="86" t="s">
        <v>108</v>
      </c>
    </row>
    <row r="29" spans="1:65" s="106" customFormat="1" ht="14.25" customHeight="1" thickBot="1" x14ac:dyDescent="0.25">
      <c r="A29" s="89">
        <v>7.1999999999999995E-2</v>
      </c>
      <c r="B29" s="27">
        <f>VLOOKUP(F29,Planilha3!D:F,3,0)</f>
        <v>7.4611665297500274</v>
      </c>
      <c r="C29" s="90">
        <f t="shared" si="20"/>
        <v>103.62731291319483</v>
      </c>
      <c r="D29" s="90" t="s">
        <v>76</v>
      </c>
      <c r="E29" s="90" t="s">
        <v>80</v>
      </c>
      <c r="F29" s="91">
        <v>902832</v>
      </c>
      <c r="G29" s="91">
        <v>1046669</v>
      </c>
      <c r="H29" s="92" t="s">
        <v>28</v>
      </c>
      <c r="I29" s="93">
        <v>12</v>
      </c>
      <c r="J29" s="93">
        <v>60</v>
      </c>
      <c r="K29" s="94">
        <f>J29*24</f>
        <v>1440</v>
      </c>
      <c r="L29" s="195">
        <v>120</v>
      </c>
      <c r="M29" s="180">
        <f t="shared" si="1"/>
        <v>2</v>
      </c>
      <c r="N29" s="95">
        <f t="shared" si="2"/>
        <v>8.3333333333333329E-2</v>
      </c>
      <c r="O29" s="148">
        <v>134.52000000000001</v>
      </c>
      <c r="P29" s="135">
        <f t="shared" si="21"/>
        <v>11.21</v>
      </c>
      <c r="Q29" s="96">
        <f t="shared" si="3"/>
        <v>0</v>
      </c>
      <c r="R29" s="96">
        <v>0</v>
      </c>
      <c r="S29" s="97">
        <f t="shared" si="4"/>
        <v>0</v>
      </c>
      <c r="T29" s="97">
        <v>0</v>
      </c>
      <c r="U29" s="121">
        <f t="shared" si="22"/>
        <v>0</v>
      </c>
      <c r="V29" s="121">
        <v>0</v>
      </c>
      <c r="W29" s="36">
        <f>VLOOKUP(F29,'[1]Proposta HNK para Tenda'!$F:$T,15,0)</f>
        <v>14.19</v>
      </c>
      <c r="X29" s="36">
        <f>VLOOKUP(F29,'[1]Proposta HNK para Tenda'!$F:$U,16,0)</f>
        <v>14.19</v>
      </c>
      <c r="Y29" s="36"/>
      <c r="Z29" s="98">
        <f t="shared" si="5"/>
        <v>0</v>
      </c>
      <c r="AA29" s="99">
        <f t="shared" si="6"/>
        <v>16142.400000000001</v>
      </c>
      <c r="AB29" s="100">
        <f>L29*12*0.6/100</f>
        <v>8.64</v>
      </c>
      <c r="AC29" s="101"/>
      <c r="AD29" s="44">
        <f t="shared" si="7"/>
        <v>0</v>
      </c>
      <c r="AE29" s="102">
        <f t="shared" si="8"/>
        <v>0</v>
      </c>
      <c r="AF29" s="102">
        <f t="shared" si="23"/>
        <v>0</v>
      </c>
      <c r="AH29" s="137">
        <v>0</v>
      </c>
      <c r="AI29" s="138">
        <f t="shared" si="9"/>
        <v>0</v>
      </c>
      <c r="AJ29" s="138">
        <f t="shared" si="10"/>
        <v>0</v>
      </c>
      <c r="AK29" s="103"/>
      <c r="AL29" s="103">
        <f t="shared" si="11"/>
        <v>0</v>
      </c>
      <c r="AM29" s="103">
        <f t="shared" si="12"/>
        <v>0</v>
      </c>
      <c r="AN29" s="7">
        <v>0</v>
      </c>
      <c r="AO29" s="138">
        <f t="shared" si="13"/>
        <v>0</v>
      </c>
      <c r="AP29" s="138">
        <f t="shared" si="14"/>
        <v>0</v>
      </c>
      <c r="AQ29" s="103">
        <f t="shared" si="15"/>
        <v>0</v>
      </c>
      <c r="AR29" s="103">
        <f t="shared" si="15"/>
        <v>0</v>
      </c>
      <c r="AS29" s="104">
        <f t="shared" si="16"/>
        <v>0</v>
      </c>
      <c r="AT29" s="104">
        <f t="shared" si="24"/>
        <v>0</v>
      </c>
      <c r="AU29" s="103">
        <f t="shared" si="17"/>
        <v>11.21</v>
      </c>
      <c r="AV29" s="104">
        <f t="shared" si="18"/>
        <v>11.21</v>
      </c>
      <c r="AW29" s="105">
        <f t="shared" si="19"/>
        <v>0.21000704721634944</v>
      </c>
      <c r="AY29" s="150">
        <f t="shared" si="29"/>
        <v>14.19</v>
      </c>
      <c r="AZ29" s="151">
        <f t="shared" si="27"/>
        <v>0</v>
      </c>
      <c r="BA29" s="160">
        <f t="shared" si="25"/>
        <v>14.19</v>
      </c>
      <c r="BB29" s="164"/>
      <c r="BD29" s="86" t="s">
        <v>106</v>
      </c>
      <c r="BE29" s="86" t="s">
        <v>263</v>
      </c>
      <c r="BF29" s="87" t="s">
        <v>264</v>
      </c>
      <c r="BG29" s="87">
        <v>387000650117</v>
      </c>
      <c r="BH29" s="86" t="s">
        <v>265</v>
      </c>
      <c r="BI29" s="86">
        <v>2222</v>
      </c>
      <c r="BJ29" s="86" t="s">
        <v>266</v>
      </c>
      <c r="BK29" s="86">
        <v>13312250</v>
      </c>
      <c r="BL29" s="86" t="s">
        <v>267</v>
      </c>
      <c r="BM29" s="86" t="s">
        <v>108</v>
      </c>
    </row>
    <row r="30" spans="1:65" s="106" customFormat="1" ht="14.25" customHeight="1" thickBot="1" x14ac:dyDescent="0.25">
      <c r="A30" s="89">
        <v>7.1999999999999995E-2</v>
      </c>
      <c r="B30" s="27">
        <f>VLOOKUP(F30,Planilha3!D:F,3,0)</f>
        <v>5.9481990031035448</v>
      </c>
      <c r="C30" s="90">
        <f t="shared" si="20"/>
        <v>82.613875043104798</v>
      </c>
      <c r="D30" s="90" t="s">
        <v>76</v>
      </c>
      <c r="E30" s="90" t="s">
        <v>80</v>
      </c>
      <c r="F30" s="93">
        <v>900118</v>
      </c>
      <c r="G30" s="93">
        <v>1017028</v>
      </c>
      <c r="H30" s="92" t="s">
        <v>26</v>
      </c>
      <c r="I30" s="93">
        <v>12</v>
      </c>
      <c r="J30" s="93">
        <v>60</v>
      </c>
      <c r="K30" s="94">
        <f t="shared" ref="K30:K39" si="32">J30*24</f>
        <v>1440</v>
      </c>
      <c r="L30" s="195">
        <v>120</v>
      </c>
      <c r="M30" s="180">
        <f t="shared" si="1"/>
        <v>2</v>
      </c>
      <c r="N30" s="95">
        <f t="shared" si="2"/>
        <v>8.3333333333333329E-2</v>
      </c>
      <c r="O30" s="148">
        <v>134.52000000000001</v>
      </c>
      <c r="P30" s="135">
        <f t="shared" si="21"/>
        <v>11.21</v>
      </c>
      <c r="Q30" s="96">
        <f t="shared" si="3"/>
        <v>0</v>
      </c>
      <c r="R30" s="96">
        <v>0</v>
      </c>
      <c r="S30" s="97">
        <f t="shared" si="4"/>
        <v>0</v>
      </c>
      <c r="T30" s="97">
        <v>0</v>
      </c>
      <c r="U30" s="121">
        <f t="shared" si="22"/>
        <v>0</v>
      </c>
      <c r="V30" s="121">
        <v>0</v>
      </c>
      <c r="W30" s="36">
        <f>VLOOKUP(F30,'[1]Proposta HNK para Tenda'!$F:$T,15,0)</f>
        <v>14.19</v>
      </c>
      <c r="X30" s="36">
        <f>VLOOKUP(F30,'[1]Proposta HNK para Tenda'!$F:$U,16,0)</f>
        <v>14.19</v>
      </c>
      <c r="Y30" s="36"/>
      <c r="Z30" s="98">
        <f t="shared" si="5"/>
        <v>0</v>
      </c>
      <c r="AA30" s="99">
        <f t="shared" si="6"/>
        <v>16142.400000000001</v>
      </c>
      <c r="AB30" s="100">
        <f>L30*12*0.6/100</f>
        <v>8.64</v>
      </c>
      <c r="AC30" s="101"/>
      <c r="AD30" s="44">
        <f t="shared" si="7"/>
        <v>0</v>
      </c>
      <c r="AE30" s="102">
        <f t="shared" si="8"/>
        <v>0</v>
      </c>
      <c r="AF30" s="102">
        <f t="shared" si="23"/>
        <v>0</v>
      </c>
      <c r="AH30" s="137">
        <v>0</v>
      </c>
      <c r="AI30" s="138">
        <f t="shared" si="9"/>
        <v>0</v>
      </c>
      <c r="AJ30" s="138">
        <f t="shared" si="10"/>
        <v>0</v>
      </c>
      <c r="AK30" s="103"/>
      <c r="AL30" s="103">
        <f t="shared" si="11"/>
        <v>0</v>
      </c>
      <c r="AM30" s="103">
        <f t="shared" si="12"/>
        <v>0</v>
      </c>
      <c r="AN30" s="7">
        <v>0</v>
      </c>
      <c r="AO30" s="138">
        <f t="shared" si="13"/>
        <v>0</v>
      </c>
      <c r="AP30" s="138">
        <f t="shared" si="14"/>
        <v>0</v>
      </c>
      <c r="AQ30" s="103">
        <f t="shared" si="15"/>
        <v>0</v>
      </c>
      <c r="AR30" s="103">
        <f t="shared" si="15"/>
        <v>0</v>
      </c>
      <c r="AS30" s="104">
        <f t="shared" si="16"/>
        <v>0</v>
      </c>
      <c r="AT30" s="104">
        <f t="shared" si="24"/>
        <v>0</v>
      </c>
      <c r="AU30" s="103">
        <f t="shared" si="17"/>
        <v>11.21</v>
      </c>
      <c r="AV30" s="104">
        <f t="shared" si="18"/>
        <v>11.21</v>
      </c>
      <c r="AW30" s="105">
        <f t="shared" si="19"/>
        <v>0.21000704721634944</v>
      </c>
      <c r="AY30" s="150">
        <f t="shared" si="29"/>
        <v>14.19</v>
      </c>
      <c r="AZ30" s="151">
        <f t="shared" si="27"/>
        <v>0</v>
      </c>
      <c r="BA30" s="160">
        <f t="shared" si="25"/>
        <v>14.19</v>
      </c>
      <c r="BB30" s="164"/>
      <c r="BD30" s="86" t="s">
        <v>106</v>
      </c>
      <c r="BE30" s="86" t="s">
        <v>263</v>
      </c>
      <c r="BF30" s="87" t="s">
        <v>264</v>
      </c>
      <c r="BG30" s="87">
        <v>387000650117</v>
      </c>
      <c r="BH30" s="86" t="s">
        <v>265</v>
      </c>
      <c r="BI30" s="86">
        <v>2222</v>
      </c>
      <c r="BJ30" s="86" t="s">
        <v>266</v>
      </c>
      <c r="BK30" s="86">
        <v>13312250</v>
      </c>
      <c r="BL30" s="86" t="s">
        <v>267</v>
      </c>
      <c r="BM30" s="86" t="s">
        <v>108</v>
      </c>
    </row>
    <row r="31" spans="1:65" s="106" customFormat="1" ht="14.25" customHeight="1" thickBot="1" x14ac:dyDescent="0.25">
      <c r="A31" s="89">
        <v>4.2000000000000003E-2</v>
      </c>
      <c r="B31" s="27">
        <f>VLOOKUP(F31,Planilha3!D:F,3,0)</f>
        <v>27.698971230513877</v>
      </c>
      <c r="C31" s="90">
        <f t="shared" si="20"/>
        <v>659.49931501223512</v>
      </c>
      <c r="D31" s="90" t="s">
        <v>76</v>
      </c>
      <c r="E31" s="90" t="s">
        <v>80</v>
      </c>
      <c r="F31" s="107">
        <v>904451</v>
      </c>
      <c r="G31" s="107">
        <v>1147973</v>
      </c>
      <c r="H31" s="92" t="s">
        <v>23</v>
      </c>
      <c r="I31" s="93">
        <v>12</v>
      </c>
      <c r="J31" s="93">
        <v>280</v>
      </c>
      <c r="K31" s="94">
        <f t="shared" si="32"/>
        <v>6720</v>
      </c>
      <c r="L31" s="195">
        <v>6720</v>
      </c>
      <c r="M31" s="180">
        <f t="shared" si="1"/>
        <v>24</v>
      </c>
      <c r="N31" s="95">
        <f>M31/26</f>
        <v>0.92307692307692313</v>
      </c>
      <c r="O31" s="148">
        <v>57.73</v>
      </c>
      <c r="P31" s="135">
        <f t="shared" si="21"/>
        <v>4.8108333333333331</v>
      </c>
      <c r="Q31" s="108">
        <f t="shared" si="3"/>
        <v>3</v>
      </c>
      <c r="R31" s="108">
        <v>0.25</v>
      </c>
      <c r="S31" s="122">
        <f t="shared" si="4"/>
        <v>0.72</v>
      </c>
      <c r="T31" s="122">
        <v>0.06</v>
      </c>
      <c r="U31" s="121">
        <f t="shared" si="22"/>
        <v>0.31</v>
      </c>
      <c r="V31" s="121">
        <v>0.31</v>
      </c>
      <c r="W31" s="36">
        <f>VLOOKUP(F31,'[1]Proposta HNK para Tenda'!$F:$T,15,0)</f>
        <v>6.09</v>
      </c>
      <c r="X31" s="36">
        <f>VLOOKUP(F31,'[1]Proposta HNK para Tenda'!$F:$U,16,0)</f>
        <v>5.3900000000000006</v>
      </c>
      <c r="Y31" s="36"/>
      <c r="Z31" s="98">
        <f t="shared" si="5"/>
        <v>24998.399999999998</v>
      </c>
      <c r="AA31" s="99">
        <f t="shared" si="6"/>
        <v>387945.6</v>
      </c>
      <c r="AB31" s="100">
        <f>L31*12*0.35/100</f>
        <v>282.24</v>
      </c>
      <c r="AC31" s="101"/>
      <c r="AD31" s="44">
        <f t="shared" si="7"/>
        <v>0.31429999999999997</v>
      </c>
      <c r="AE31" s="102">
        <f t="shared" si="8"/>
        <v>0.31</v>
      </c>
      <c r="AF31" s="102">
        <f t="shared" si="23"/>
        <v>4.2999999999999705E-3</v>
      </c>
      <c r="AH31" s="175">
        <v>89.8</v>
      </c>
      <c r="AI31" s="176">
        <f t="shared" si="9"/>
        <v>25345.151999999998</v>
      </c>
      <c r="AJ31" s="176">
        <f t="shared" si="10"/>
        <v>0.31429999999999997</v>
      </c>
      <c r="AK31" s="103"/>
      <c r="AL31" s="103">
        <f t="shared" si="11"/>
        <v>0</v>
      </c>
      <c r="AM31" s="103">
        <f t="shared" si="12"/>
        <v>0</v>
      </c>
      <c r="AN31" s="7">
        <v>0</v>
      </c>
      <c r="AO31" s="138">
        <f t="shared" si="13"/>
        <v>0</v>
      </c>
      <c r="AP31" s="138">
        <f t="shared" si="14"/>
        <v>0</v>
      </c>
      <c r="AQ31" s="103">
        <f t="shared" si="15"/>
        <v>25345.151999999998</v>
      </c>
      <c r="AR31" s="103">
        <f t="shared" si="15"/>
        <v>0.31429999999999997</v>
      </c>
      <c r="AS31" s="104">
        <f t="shared" si="16"/>
        <v>24998.399999999998</v>
      </c>
      <c r="AT31" s="104">
        <f t="shared" si="24"/>
        <v>346.75200000000041</v>
      </c>
      <c r="AU31" s="103">
        <f t="shared" si="17"/>
        <v>4.8108333333333331</v>
      </c>
      <c r="AV31" s="104">
        <f t="shared" si="18"/>
        <v>4.5008333333333335</v>
      </c>
      <c r="AW31" s="105">
        <f t="shared" si="19"/>
        <v>0.1649659863945579</v>
      </c>
      <c r="AY31" s="150">
        <f t="shared" si="29"/>
        <v>5.3900000000000006</v>
      </c>
      <c r="AZ31" s="151">
        <f t="shared" si="27"/>
        <v>0</v>
      </c>
      <c r="BA31" s="160">
        <f t="shared" si="25"/>
        <v>5.3900000000000006</v>
      </c>
      <c r="BB31" s="164"/>
      <c r="BD31" s="86" t="s">
        <v>106</v>
      </c>
      <c r="BE31" s="86" t="s">
        <v>263</v>
      </c>
      <c r="BF31" s="87" t="s">
        <v>264</v>
      </c>
      <c r="BG31" s="87">
        <v>387000650117</v>
      </c>
      <c r="BH31" s="86" t="s">
        <v>265</v>
      </c>
      <c r="BI31" s="86">
        <v>2222</v>
      </c>
      <c r="BJ31" s="86" t="s">
        <v>266</v>
      </c>
      <c r="BK31" s="86">
        <v>13312250</v>
      </c>
      <c r="BL31" s="86" t="s">
        <v>267</v>
      </c>
      <c r="BM31" s="86" t="s">
        <v>108</v>
      </c>
    </row>
    <row r="32" spans="1:65" s="106" customFormat="1" ht="14.25" customHeight="1" thickBot="1" x14ac:dyDescent="0.25">
      <c r="A32" s="89">
        <v>7.1999999999999995E-2</v>
      </c>
      <c r="B32" s="27">
        <f>VLOOKUP(F32,Planilha3!D:F,3,0)</f>
        <v>2.9586870052133625</v>
      </c>
      <c r="C32" s="90">
        <f t="shared" si="20"/>
        <v>41.092875072407814</v>
      </c>
      <c r="D32" s="90" t="s">
        <v>76</v>
      </c>
      <c r="E32" s="90" t="s">
        <v>80</v>
      </c>
      <c r="F32" s="91">
        <v>904742</v>
      </c>
      <c r="G32" s="91">
        <v>1169732</v>
      </c>
      <c r="H32" s="92" t="s">
        <v>56</v>
      </c>
      <c r="I32" s="93">
        <v>12</v>
      </c>
      <c r="J32" s="93">
        <v>60</v>
      </c>
      <c r="K32" s="94">
        <f t="shared" si="32"/>
        <v>1440</v>
      </c>
      <c r="L32" s="195">
        <v>120</v>
      </c>
      <c r="M32" s="180">
        <f t="shared" si="1"/>
        <v>2</v>
      </c>
      <c r="N32" s="95">
        <f t="shared" ref="N32:N47" si="33">L32/K32</f>
        <v>8.3333333333333329E-2</v>
      </c>
      <c r="O32" s="148">
        <v>134.52000000000001</v>
      </c>
      <c r="P32" s="135">
        <f t="shared" si="21"/>
        <v>11.21</v>
      </c>
      <c r="Q32" s="96">
        <f t="shared" si="3"/>
        <v>0</v>
      </c>
      <c r="R32" s="96">
        <v>0</v>
      </c>
      <c r="S32" s="97">
        <f t="shared" si="4"/>
        <v>0</v>
      </c>
      <c r="T32" s="97">
        <v>0</v>
      </c>
      <c r="U32" s="121">
        <f t="shared" si="22"/>
        <v>0</v>
      </c>
      <c r="V32" s="121">
        <v>0</v>
      </c>
      <c r="W32" s="36">
        <f>VLOOKUP(F32,'[1]Proposta HNK para Tenda'!$F:$T,15,0)</f>
        <v>14.19</v>
      </c>
      <c r="X32" s="36">
        <f>VLOOKUP(F32,'[1]Proposta HNK para Tenda'!$F:$U,16,0)</f>
        <v>14.19</v>
      </c>
      <c r="Y32" s="36"/>
      <c r="Z32" s="98">
        <f t="shared" si="5"/>
        <v>0</v>
      </c>
      <c r="AA32" s="99">
        <f t="shared" si="6"/>
        <v>16142.400000000001</v>
      </c>
      <c r="AB32" s="100">
        <f>L32*12*0.6/100</f>
        <v>8.64</v>
      </c>
      <c r="AC32" s="101"/>
      <c r="AD32" s="44">
        <f t="shared" si="7"/>
        <v>0</v>
      </c>
      <c r="AE32" s="102">
        <f t="shared" si="8"/>
        <v>0</v>
      </c>
      <c r="AF32" s="102">
        <f t="shared" si="23"/>
        <v>0</v>
      </c>
      <c r="AH32" s="137">
        <v>0</v>
      </c>
      <c r="AI32" s="138">
        <f t="shared" si="9"/>
        <v>0</v>
      </c>
      <c r="AJ32" s="138">
        <f t="shared" si="10"/>
        <v>0</v>
      </c>
      <c r="AK32" s="103"/>
      <c r="AL32" s="103">
        <f t="shared" si="11"/>
        <v>0</v>
      </c>
      <c r="AM32" s="103">
        <f t="shared" si="12"/>
        <v>0</v>
      </c>
      <c r="AN32" s="7">
        <v>0</v>
      </c>
      <c r="AO32" s="138">
        <f t="shared" si="13"/>
        <v>0</v>
      </c>
      <c r="AP32" s="138">
        <f t="shared" si="14"/>
        <v>0</v>
      </c>
      <c r="AQ32" s="103">
        <f t="shared" si="15"/>
        <v>0</v>
      </c>
      <c r="AR32" s="103">
        <f t="shared" si="15"/>
        <v>0</v>
      </c>
      <c r="AS32" s="104">
        <f t="shared" si="16"/>
        <v>0</v>
      </c>
      <c r="AT32" s="104">
        <f t="shared" si="24"/>
        <v>0</v>
      </c>
      <c r="AU32" s="103">
        <f t="shared" si="17"/>
        <v>11.21</v>
      </c>
      <c r="AV32" s="104">
        <f t="shared" si="18"/>
        <v>11.21</v>
      </c>
      <c r="AW32" s="105">
        <f t="shared" si="19"/>
        <v>0.21000704721634944</v>
      </c>
      <c r="AY32" s="150">
        <f t="shared" si="29"/>
        <v>14.19</v>
      </c>
      <c r="AZ32" s="151">
        <f t="shared" si="27"/>
        <v>0</v>
      </c>
      <c r="BA32" s="160">
        <f t="shared" si="25"/>
        <v>14.19</v>
      </c>
      <c r="BB32" s="164"/>
      <c r="BD32" s="86" t="s">
        <v>106</v>
      </c>
      <c r="BE32" s="86" t="s">
        <v>263</v>
      </c>
      <c r="BF32" s="87" t="s">
        <v>264</v>
      </c>
      <c r="BG32" s="87">
        <v>387000650117</v>
      </c>
      <c r="BH32" s="86" t="s">
        <v>265</v>
      </c>
      <c r="BI32" s="86">
        <v>2222</v>
      </c>
      <c r="BJ32" s="86" t="s">
        <v>266</v>
      </c>
      <c r="BK32" s="86">
        <v>13312250</v>
      </c>
      <c r="BL32" s="86" t="s">
        <v>267</v>
      </c>
      <c r="BM32" s="86" t="s">
        <v>108</v>
      </c>
    </row>
    <row r="33" spans="1:65 16369:16369" s="106" customFormat="1" ht="14.25" customHeight="1" thickBot="1" x14ac:dyDescent="0.25">
      <c r="A33" s="89">
        <v>4.2000000000000003E-2</v>
      </c>
      <c r="B33" s="27">
        <f>VLOOKUP(F33,Planilha3!D:F,3,0)</f>
        <v>12.8718384739042</v>
      </c>
      <c r="C33" s="90">
        <f t="shared" si="20"/>
        <v>306.47234461676663</v>
      </c>
      <c r="D33" s="90" t="s">
        <v>76</v>
      </c>
      <c r="E33" s="90" t="s">
        <v>80</v>
      </c>
      <c r="F33" s="107">
        <v>904743</v>
      </c>
      <c r="G33" s="107">
        <v>1170232</v>
      </c>
      <c r="H33" s="92" t="s">
        <v>22</v>
      </c>
      <c r="I33" s="93">
        <v>12</v>
      </c>
      <c r="J33" s="93">
        <v>280</v>
      </c>
      <c r="K33" s="94">
        <f t="shared" si="32"/>
        <v>6720</v>
      </c>
      <c r="L33" s="196">
        <v>3920</v>
      </c>
      <c r="M33" s="180">
        <f t="shared" si="1"/>
        <v>14</v>
      </c>
      <c r="N33" s="95">
        <f t="shared" si="33"/>
        <v>0.58333333333333337</v>
      </c>
      <c r="O33" s="148">
        <v>57.73</v>
      </c>
      <c r="P33" s="135">
        <f t="shared" si="21"/>
        <v>4.8108333333333331</v>
      </c>
      <c r="Q33" s="108">
        <f t="shared" si="3"/>
        <v>3</v>
      </c>
      <c r="R33" s="108">
        <v>0.25</v>
      </c>
      <c r="S33" s="122">
        <f t="shared" si="4"/>
        <v>0.72</v>
      </c>
      <c r="T33" s="122">
        <v>0.06</v>
      </c>
      <c r="U33" s="121">
        <f t="shared" si="22"/>
        <v>0.31</v>
      </c>
      <c r="V33" s="121">
        <v>0.31</v>
      </c>
      <c r="W33" s="36">
        <f>VLOOKUP(F33,'[1]Proposta HNK para Tenda'!$F:$T,15,0)</f>
        <v>6.09</v>
      </c>
      <c r="X33" s="36">
        <f>VLOOKUP(F33,'[1]Proposta HNK para Tenda'!$F:$U,16,0)</f>
        <v>5.3900000000000006</v>
      </c>
      <c r="Y33" s="36"/>
      <c r="Z33" s="98">
        <f t="shared" si="5"/>
        <v>14582.4</v>
      </c>
      <c r="AA33" s="99">
        <f t="shared" si="6"/>
        <v>226301.59999999998</v>
      </c>
      <c r="AB33" s="100">
        <f>L33*12*0.35/100</f>
        <v>164.64</v>
      </c>
      <c r="AC33" s="101"/>
      <c r="AD33" s="44">
        <f t="shared" si="7"/>
        <v>0.31429999999999997</v>
      </c>
      <c r="AE33" s="102">
        <f t="shared" si="8"/>
        <v>0.31</v>
      </c>
      <c r="AF33" s="102">
        <f t="shared" si="23"/>
        <v>4.2999999999999705E-3</v>
      </c>
      <c r="AH33" s="175">
        <v>89.8</v>
      </c>
      <c r="AI33" s="176">
        <f t="shared" si="9"/>
        <v>14784.671999999999</v>
      </c>
      <c r="AJ33" s="176">
        <f t="shared" si="10"/>
        <v>0.31429999999999997</v>
      </c>
      <c r="AK33" s="103"/>
      <c r="AL33" s="103">
        <f t="shared" si="11"/>
        <v>0</v>
      </c>
      <c r="AM33" s="103">
        <f t="shared" si="12"/>
        <v>0</v>
      </c>
      <c r="AN33" s="7">
        <v>0</v>
      </c>
      <c r="AO33" s="138">
        <f t="shared" si="13"/>
        <v>0</v>
      </c>
      <c r="AP33" s="138">
        <f t="shared" si="14"/>
        <v>0</v>
      </c>
      <c r="AQ33" s="103">
        <f t="shared" si="15"/>
        <v>14784.671999999999</v>
      </c>
      <c r="AR33" s="103">
        <f t="shared" si="15"/>
        <v>0.31429999999999997</v>
      </c>
      <c r="AS33" s="104">
        <f t="shared" si="16"/>
        <v>14582.4</v>
      </c>
      <c r="AT33" s="104">
        <f t="shared" si="24"/>
        <v>202.27199999999903</v>
      </c>
      <c r="AU33" s="103">
        <f t="shared" si="17"/>
        <v>4.8108333333333331</v>
      </c>
      <c r="AV33" s="104">
        <f t="shared" si="18"/>
        <v>4.5008333333333335</v>
      </c>
      <c r="AW33" s="105">
        <f t="shared" si="19"/>
        <v>0.1649659863945579</v>
      </c>
      <c r="AY33" s="150">
        <f t="shared" si="29"/>
        <v>5.3900000000000006</v>
      </c>
      <c r="AZ33" s="151">
        <f t="shared" si="27"/>
        <v>0</v>
      </c>
      <c r="BA33" s="160">
        <f t="shared" si="25"/>
        <v>5.3900000000000006</v>
      </c>
      <c r="BB33" s="164"/>
      <c r="BD33" s="86" t="s">
        <v>106</v>
      </c>
      <c r="BE33" s="86" t="s">
        <v>263</v>
      </c>
      <c r="BF33" s="87" t="s">
        <v>264</v>
      </c>
      <c r="BG33" s="87">
        <v>387000650117</v>
      </c>
      <c r="BH33" s="86" t="s">
        <v>265</v>
      </c>
      <c r="BI33" s="86">
        <v>2222</v>
      </c>
      <c r="BJ33" s="86" t="s">
        <v>266</v>
      </c>
      <c r="BK33" s="86">
        <v>13312250</v>
      </c>
      <c r="BL33" s="86" t="s">
        <v>267</v>
      </c>
      <c r="BM33" s="86" t="s">
        <v>108</v>
      </c>
    </row>
    <row r="34" spans="1:65 16369:16369" s="106" customFormat="1" ht="14.25" customHeight="1" thickBot="1" x14ac:dyDescent="0.25">
      <c r="A34" s="89">
        <v>7.1999999999999995E-2</v>
      </c>
      <c r="B34" s="27">
        <f>VLOOKUP(F34,Planilha3!D:F,3,0)</f>
        <v>5.1478174848522329</v>
      </c>
      <c r="C34" s="90">
        <f t="shared" si="20"/>
        <v>71.497465067392127</v>
      </c>
      <c r="D34" s="90" t="s">
        <v>76</v>
      </c>
      <c r="E34" s="90" t="s">
        <v>80</v>
      </c>
      <c r="F34" s="91">
        <v>900109</v>
      </c>
      <c r="G34" s="91">
        <v>1017027</v>
      </c>
      <c r="H34" s="92" t="s">
        <v>27</v>
      </c>
      <c r="I34" s="93">
        <v>12</v>
      </c>
      <c r="J34" s="93">
        <v>60</v>
      </c>
      <c r="K34" s="94">
        <f t="shared" si="32"/>
        <v>1440</v>
      </c>
      <c r="L34" s="196">
        <v>240</v>
      </c>
      <c r="M34" s="180">
        <f t="shared" si="1"/>
        <v>4</v>
      </c>
      <c r="N34" s="95">
        <f t="shared" si="33"/>
        <v>0.16666666666666666</v>
      </c>
      <c r="O34" s="148">
        <v>134.52000000000001</v>
      </c>
      <c r="P34" s="135">
        <f t="shared" si="21"/>
        <v>11.21</v>
      </c>
      <c r="Q34" s="96">
        <f t="shared" si="3"/>
        <v>0</v>
      </c>
      <c r="R34" s="96">
        <v>0</v>
      </c>
      <c r="S34" s="97">
        <f t="shared" si="4"/>
        <v>0</v>
      </c>
      <c r="T34" s="97">
        <v>0</v>
      </c>
      <c r="U34" s="121">
        <f t="shared" si="22"/>
        <v>0</v>
      </c>
      <c r="V34" s="121">
        <v>0</v>
      </c>
      <c r="W34" s="36">
        <f>VLOOKUP(F34,'[1]Proposta HNK para Tenda'!$F:$T,15,0)</f>
        <v>14.19</v>
      </c>
      <c r="X34" s="36">
        <f>VLOOKUP(F34,'[1]Proposta HNK para Tenda'!$F:$U,16,0)</f>
        <v>14.19</v>
      </c>
      <c r="Y34" s="36"/>
      <c r="Z34" s="98">
        <f t="shared" si="5"/>
        <v>0</v>
      </c>
      <c r="AA34" s="99">
        <f t="shared" si="6"/>
        <v>32284.800000000003</v>
      </c>
      <c r="AB34" s="100">
        <f>L34*12*0.6/100</f>
        <v>17.28</v>
      </c>
      <c r="AC34" s="101"/>
      <c r="AD34" s="44">
        <f t="shared" si="7"/>
        <v>0</v>
      </c>
      <c r="AE34" s="102">
        <f t="shared" si="8"/>
        <v>0</v>
      </c>
      <c r="AF34" s="102">
        <f t="shared" si="23"/>
        <v>0</v>
      </c>
      <c r="AH34" s="137">
        <v>0</v>
      </c>
      <c r="AI34" s="138">
        <f t="shared" si="9"/>
        <v>0</v>
      </c>
      <c r="AJ34" s="138">
        <f t="shared" si="10"/>
        <v>0</v>
      </c>
      <c r="AK34" s="103"/>
      <c r="AL34" s="103">
        <f t="shared" si="11"/>
        <v>0</v>
      </c>
      <c r="AM34" s="103">
        <f t="shared" si="12"/>
        <v>0</v>
      </c>
      <c r="AN34" s="7">
        <v>0</v>
      </c>
      <c r="AO34" s="138">
        <f t="shared" si="13"/>
        <v>0</v>
      </c>
      <c r="AP34" s="138">
        <f t="shared" si="14"/>
        <v>0</v>
      </c>
      <c r="AQ34" s="103">
        <f t="shared" si="15"/>
        <v>0</v>
      </c>
      <c r="AR34" s="103">
        <f t="shared" si="15"/>
        <v>0</v>
      </c>
      <c r="AS34" s="104">
        <f t="shared" si="16"/>
        <v>0</v>
      </c>
      <c r="AT34" s="104">
        <f t="shared" si="24"/>
        <v>0</v>
      </c>
      <c r="AU34" s="103">
        <f t="shared" si="17"/>
        <v>11.21</v>
      </c>
      <c r="AV34" s="104">
        <f t="shared" si="18"/>
        <v>11.21</v>
      </c>
      <c r="AW34" s="105">
        <f t="shared" si="19"/>
        <v>0.21000704721634944</v>
      </c>
      <c r="AY34" s="150">
        <f t="shared" si="29"/>
        <v>14.19</v>
      </c>
      <c r="AZ34" s="151">
        <f t="shared" si="27"/>
        <v>0</v>
      </c>
      <c r="BA34" s="160">
        <f t="shared" si="25"/>
        <v>14.19</v>
      </c>
      <c r="BB34" s="164"/>
      <c r="BD34" s="86" t="s">
        <v>106</v>
      </c>
      <c r="BE34" s="86" t="s">
        <v>263</v>
      </c>
      <c r="BF34" s="87" t="s">
        <v>264</v>
      </c>
      <c r="BG34" s="87">
        <v>387000650117</v>
      </c>
      <c r="BH34" s="86" t="s">
        <v>265</v>
      </c>
      <c r="BI34" s="86">
        <v>2222</v>
      </c>
      <c r="BJ34" s="86" t="s">
        <v>266</v>
      </c>
      <c r="BK34" s="86">
        <v>13312250</v>
      </c>
      <c r="BL34" s="86" t="s">
        <v>267</v>
      </c>
      <c r="BM34" s="86" t="s">
        <v>108</v>
      </c>
    </row>
    <row r="35" spans="1:65 16369:16369" s="106" customFormat="1" ht="14.25" customHeight="1" thickBot="1" x14ac:dyDescent="0.25">
      <c r="A35" s="89">
        <v>4.2000000000000003E-2</v>
      </c>
      <c r="B35" s="27">
        <f>VLOOKUP(F35,Planilha3!D:F,3,0)</f>
        <v>8.3101108017361387</v>
      </c>
      <c r="C35" s="90">
        <f t="shared" si="20"/>
        <v>197.85978099371758</v>
      </c>
      <c r="D35" s="90" t="s">
        <v>76</v>
      </c>
      <c r="E35" s="90" t="s">
        <v>80</v>
      </c>
      <c r="F35" s="93">
        <v>904441</v>
      </c>
      <c r="G35" s="93">
        <v>1147975</v>
      </c>
      <c r="H35" s="92" t="s">
        <v>24</v>
      </c>
      <c r="I35" s="93">
        <v>12</v>
      </c>
      <c r="J35" s="93">
        <v>280</v>
      </c>
      <c r="K35" s="94">
        <f t="shared" si="32"/>
        <v>6720</v>
      </c>
      <c r="L35" s="195">
        <v>6720</v>
      </c>
      <c r="M35" s="180">
        <f t="shared" si="1"/>
        <v>24</v>
      </c>
      <c r="N35" s="95">
        <f t="shared" si="33"/>
        <v>1</v>
      </c>
      <c r="O35" s="148">
        <v>57.73</v>
      </c>
      <c r="P35" s="135">
        <f t="shared" si="21"/>
        <v>4.8108333333333331</v>
      </c>
      <c r="Q35" s="108">
        <f t="shared" si="3"/>
        <v>3</v>
      </c>
      <c r="R35" s="108">
        <v>0.25</v>
      </c>
      <c r="S35" s="122">
        <f t="shared" si="4"/>
        <v>0.72</v>
      </c>
      <c r="T35" s="122">
        <v>0.06</v>
      </c>
      <c r="U35" s="121">
        <f t="shared" si="22"/>
        <v>0.31</v>
      </c>
      <c r="V35" s="121">
        <v>0.31</v>
      </c>
      <c r="W35" s="36">
        <f>VLOOKUP(F35,'[1]Proposta HNK para Tenda'!$F:$T,15,0)</f>
        <v>6.09</v>
      </c>
      <c r="X35" s="36">
        <f>VLOOKUP(F35,'[1]Proposta HNK para Tenda'!$F:$U,16,0)</f>
        <v>5.3900000000000006</v>
      </c>
      <c r="Y35" s="36"/>
      <c r="Z35" s="98">
        <f t="shared" si="5"/>
        <v>24998.399999999998</v>
      </c>
      <c r="AA35" s="99">
        <f t="shared" si="6"/>
        <v>387945.6</v>
      </c>
      <c r="AB35" s="100">
        <f>L35*12*0.35/100</f>
        <v>282.24</v>
      </c>
      <c r="AC35" s="101"/>
      <c r="AD35" s="44">
        <f t="shared" si="7"/>
        <v>0.31429999999999997</v>
      </c>
      <c r="AE35" s="102">
        <f t="shared" si="8"/>
        <v>0.31</v>
      </c>
      <c r="AF35" s="102">
        <f t="shared" si="23"/>
        <v>4.2999999999999705E-3</v>
      </c>
      <c r="AH35" s="175">
        <v>89.8</v>
      </c>
      <c r="AI35" s="176">
        <f t="shared" si="9"/>
        <v>25345.151999999998</v>
      </c>
      <c r="AJ35" s="176">
        <f t="shared" si="10"/>
        <v>0.31429999999999997</v>
      </c>
      <c r="AK35" s="103"/>
      <c r="AL35" s="103">
        <f t="shared" si="11"/>
        <v>0</v>
      </c>
      <c r="AM35" s="103">
        <f t="shared" si="12"/>
        <v>0</v>
      </c>
      <c r="AN35" s="7">
        <v>0</v>
      </c>
      <c r="AO35" s="138">
        <f t="shared" si="13"/>
        <v>0</v>
      </c>
      <c r="AP35" s="138">
        <f t="shared" si="14"/>
        <v>0</v>
      </c>
      <c r="AQ35" s="103">
        <f t="shared" si="15"/>
        <v>25345.151999999998</v>
      </c>
      <c r="AR35" s="103">
        <f t="shared" si="15"/>
        <v>0.31429999999999997</v>
      </c>
      <c r="AS35" s="104">
        <f t="shared" si="16"/>
        <v>24998.399999999998</v>
      </c>
      <c r="AT35" s="104">
        <f t="shared" si="24"/>
        <v>346.75200000000041</v>
      </c>
      <c r="AU35" s="103">
        <f t="shared" si="17"/>
        <v>4.8108333333333331</v>
      </c>
      <c r="AV35" s="104">
        <f t="shared" si="18"/>
        <v>4.5008333333333335</v>
      </c>
      <c r="AW35" s="105">
        <f t="shared" si="19"/>
        <v>0.1649659863945579</v>
      </c>
      <c r="AY35" s="150">
        <f t="shared" si="29"/>
        <v>5.3900000000000006</v>
      </c>
      <c r="AZ35" s="151">
        <f t="shared" si="27"/>
        <v>0</v>
      </c>
      <c r="BA35" s="160">
        <f t="shared" si="25"/>
        <v>5.3900000000000006</v>
      </c>
      <c r="BB35" s="164"/>
      <c r="BD35" s="86" t="s">
        <v>106</v>
      </c>
      <c r="BE35" s="86" t="s">
        <v>263</v>
      </c>
      <c r="BF35" s="87" t="s">
        <v>264</v>
      </c>
      <c r="BG35" s="87">
        <v>387000650117</v>
      </c>
      <c r="BH35" s="86" t="s">
        <v>265</v>
      </c>
      <c r="BI35" s="86">
        <v>2222</v>
      </c>
      <c r="BJ35" s="86" t="s">
        <v>266</v>
      </c>
      <c r="BK35" s="86">
        <v>13312250</v>
      </c>
      <c r="BL35" s="86" t="s">
        <v>267</v>
      </c>
      <c r="BM35" s="86" t="s">
        <v>108</v>
      </c>
    </row>
    <row r="36" spans="1:65 16369:16369" s="106" customFormat="1" ht="14.25" customHeight="1" thickBot="1" x14ac:dyDescent="0.25">
      <c r="A36" s="89">
        <v>7.1999999999999995E-2</v>
      </c>
      <c r="B36" s="27">
        <f>VLOOKUP(F36,Planilha3!D:F,3,0)</f>
        <v>6.1719832816502631</v>
      </c>
      <c r="C36" s="90">
        <f t="shared" si="20"/>
        <v>85.721990022920323</v>
      </c>
      <c r="D36" s="90" t="s">
        <v>76</v>
      </c>
      <c r="E36" s="90" t="s">
        <v>80</v>
      </c>
      <c r="F36" s="93">
        <v>901162</v>
      </c>
      <c r="G36" s="93">
        <v>1046689</v>
      </c>
      <c r="H36" s="92" t="s">
        <v>25</v>
      </c>
      <c r="I36" s="93">
        <v>12</v>
      </c>
      <c r="J36" s="93">
        <v>60</v>
      </c>
      <c r="K36" s="94">
        <f t="shared" si="32"/>
        <v>1440</v>
      </c>
      <c r="L36" s="196">
        <v>120</v>
      </c>
      <c r="M36" s="180">
        <f t="shared" si="1"/>
        <v>2</v>
      </c>
      <c r="N36" s="95">
        <f t="shared" si="33"/>
        <v>8.3333333333333329E-2</v>
      </c>
      <c r="O36" s="148">
        <v>134.52000000000001</v>
      </c>
      <c r="P36" s="135">
        <f t="shared" si="21"/>
        <v>11.21</v>
      </c>
      <c r="Q36" s="96">
        <f t="shared" si="3"/>
        <v>0</v>
      </c>
      <c r="R36" s="96">
        <v>0</v>
      </c>
      <c r="S36" s="97">
        <f t="shared" si="4"/>
        <v>0</v>
      </c>
      <c r="T36" s="97">
        <v>0</v>
      </c>
      <c r="U36" s="121">
        <f t="shared" si="22"/>
        <v>0</v>
      </c>
      <c r="V36" s="121">
        <v>0</v>
      </c>
      <c r="W36" s="36">
        <f>VLOOKUP(F36,'[1]Proposta HNK para Tenda'!$F:$T,15,0)</f>
        <v>14.19</v>
      </c>
      <c r="X36" s="36">
        <f>VLOOKUP(F36,'[1]Proposta HNK para Tenda'!$F:$U,16,0)</f>
        <v>14.19</v>
      </c>
      <c r="Y36" s="36"/>
      <c r="Z36" s="98">
        <f t="shared" si="5"/>
        <v>0</v>
      </c>
      <c r="AA36" s="99">
        <f t="shared" si="6"/>
        <v>16142.400000000001</v>
      </c>
      <c r="AB36" s="100">
        <f>L36*12*0.6/100</f>
        <v>8.64</v>
      </c>
      <c r="AC36" s="101"/>
      <c r="AD36" s="44">
        <f t="shared" si="7"/>
        <v>0</v>
      </c>
      <c r="AE36" s="102">
        <f t="shared" si="8"/>
        <v>0</v>
      </c>
      <c r="AF36" s="102">
        <f t="shared" si="23"/>
        <v>0</v>
      </c>
      <c r="AH36" s="137">
        <v>0</v>
      </c>
      <c r="AI36" s="138">
        <f t="shared" si="9"/>
        <v>0</v>
      </c>
      <c r="AJ36" s="138">
        <f t="shared" si="10"/>
        <v>0</v>
      </c>
      <c r="AK36" s="103"/>
      <c r="AL36" s="103">
        <f t="shared" si="11"/>
        <v>0</v>
      </c>
      <c r="AM36" s="103">
        <f t="shared" si="12"/>
        <v>0</v>
      </c>
      <c r="AN36" s="7">
        <v>0</v>
      </c>
      <c r="AO36" s="138">
        <f t="shared" si="13"/>
        <v>0</v>
      </c>
      <c r="AP36" s="138">
        <f t="shared" si="14"/>
        <v>0</v>
      </c>
      <c r="AQ36" s="103">
        <f t="shared" si="15"/>
        <v>0</v>
      </c>
      <c r="AR36" s="103">
        <f t="shared" si="15"/>
        <v>0</v>
      </c>
      <c r="AS36" s="104">
        <f t="shared" si="16"/>
        <v>0</v>
      </c>
      <c r="AT36" s="104">
        <f t="shared" si="24"/>
        <v>0</v>
      </c>
      <c r="AU36" s="103">
        <f t="shared" si="17"/>
        <v>11.21</v>
      </c>
      <c r="AV36" s="104">
        <f t="shared" si="18"/>
        <v>11.21</v>
      </c>
      <c r="AW36" s="105">
        <f t="shared" si="19"/>
        <v>0.21000704721634944</v>
      </c>
      <c r="AY36" s="150">
        <f t="shared" si="29"/>
        <v>14.19</v>
      </c>
      <c r="AZ36" s="151">
        <f t="shared" si="27"/>
        <v>0</v>
      </c>
      <c r="BA36" s="160">
        <f t="shared" si="25"/>
        <v>14.19</v>
      </c>
      <c r="BB36" s="164"/>
      <c r="BD36" s="86" t="s">
        <v>106</v>
      </c>
      <c r="BE36" s="86" t="s">
        <v>263</v>
      </c>
      <c r="BF36" s="87" t="s">
        <v>264</v>
      </c>
      <c r="BG36" s="87">
        <v>387000650117</v>
      </c>
      <c r="BH36" s="86" t="s">
        <v>265</v>
      </c>
      <c r="BI36" s="86">
        <v>2222</v>
      </c>
      <c r="BJ36" s="86" t="s">
        <v>266</v>
      </c>
      <c r="BK36" s="86">
        <v>13312250</v>
      </c>
      <c r="BL36" s="86" t="s">
        <v>267</v>
      </c>
      <c r="BM36" s="86" t="s">
        <v>108</v>
      </c>
    </row>
    <row r="37" spans="1:65 16369:16369" s="106" customFormat="1" ht="14.25" customHeight="1" thickBot="1" x14ac:dyDescent="0.25">
      <c r="A37" s="89">
        <v>4.2000000000000003E-2</v>
      </c>
      <c r="B37" s="27">
        <f>VLOOKUP(F37,Planilha3!D:F,3,0)</f>
        <v>21.928825538868569</v>
      </c>
      <c r="C37" s="90">
        <f t="shared" si="20"/>
        <v>522.114893782585</v>
      </c>
      <c r="D37" s="90" t="s">
        <v>76</v>
      </c>
      <c r="E37" s="90" t="s">
        <v>80</v>
      </c>
      <c r="F37" s="107">
        <v>904193</v>
      </c>
      <c r="G37" s="107">
        <v>1150647</v>
      </c>
      <c r="H37" s="92" t="s">
        <v>21</v>
      </c>
      <c r="I37" s="93">
        <v>12</v>
      </c>
      <c r="J37" s="93">
        <v>280</v>
      </c>
      <c r="K37" s="94">
        <f t="shared" si="32"/>
        <v>6720</v>
      </c>
      <c r="L37" s="195">
        <v>6720</v>
      </c>
      <c r="M37" s="180">
        <f t="shared" si="1"/>
        <v>24</v>
      </c>
      <c r="N37" s="95">
        <f t="shared" si="33"/>
        <v>1</v>
      </c>
      <c r="O37" s="148">
        <v>57.73</v>
      </c>
      <c r="P37" s="135">
        <f t="shared" si="21"/>
        <v>4.8108333333333331</v>
      </c>
      <c r="Q37" s="108">
        <f t="shared" si="3"/>
        <v>3</v>
      </c>
      <c r="R37" s="108">
        <v>0.25</v>
      </c>
      <c r="S37" s="122">
        <f t="shared" si="4"/>
        <v>0.72</v>
      </c>
      <c r="T37" s="122">
        <v>0.06</v>
      </c>
      <c r="U37" s="121">
        <f t="shared" si="22"/>
        <v>0.31</v>
      </c>
      <c r="V37" s="121">
        <v>0.31</v>
      </c>
      <c r="W37" s="36">
        <f>VLOOKUP(F37,'[1]Proposta HNK para Tenda'!$F:$T,15,0)</f>
        <v>6.09</v>
      </c>
      <c r="X37" s="36">
        <f>VLOOKUP(F37,'[1]Proposta HNK para Tenda'!$F:$U,16,0)</f>
        <v>5.3900000000000006</v>
      </c>
      <c r="Y37" s="36"/>
      <c r="Z37" s="98">
        <f t="shared" si="5"/>
        <v>24998.399999999998</v>
      </c>
      <c r="AA37" s="99">
        <f t="shared" si="6"/>
        <v>387945.6</v>
      </c>
      <c r="AB37" s="100">
        <f>L37*12*0.35/100</f>
        <v>282.24</v>
      </c>
      <c r="AC37" s="101"/>
      <c r="AD37" s="44">
        <f t="shared" si="7"/>
        <v>0.31429999999999997</v>
      </c>
      <c r="AE37" s="102">
        <f t="shared" si="8"/>
        <v>0.31</v>
      </c>
      <c r="AF37" s="102">
        <f t="shared" si="23"/>
        <v>4.2999999999999705E-3</v>
      </c>
      <c r="AH37" s="175">
        <v>89.8</v>
      </c>
      <c r="AI37" s="176">
        <f t="shared" si="9"/>
        <v>25345.151999999998</v>
      </c>
      <c r="AJ37" s="176">
        <f t="shared" si="10"/>
        <v>0.31429999999999997</v>
      </c>
      <c r="AK37" s="103"/>
      <c r="AL37" s="103">
        <f t="shared" si="11"/>
        <v>0</v>
      </c>
      <c r="AM37" s="103">
        <f t="shared" si="12"/>
        <v>0</v>
      </c>
      <c r="AN37" s="7">
        <v>0</v>
      </c>
      <c r="AO37" s="138">
        <f t="shared" si="13"/>
        <v>0</v>
      </c>
      <c r="AP37" s="138">
        <f t="shared" si="14"/>
        <v>0</v>
      </c>
      <c r="AQ37" s="103">
        <f t="shared" si="15"/>
        <v>25345.151999999998</v>
      </c>
      <c r="AR37" s="103">
        <f t="shared" si="15"/>
        <v>0.31429999999999997</v>
      </c>
      <c r="AS37" s="104">
        <f t="shared" si="16"/>
        <v>24998.399999999998</v>
      </c>
      <c r="AT37" s="104">
        <f t="shared" si="24"/>
        <v>346.75200000000041</v>
      </c>
      <c r="AU37" s="103">
        <f t="shared" si="17"/>
        <v>4.8108333333333331</v>
      </c>
      <c r="AV37" s="104">
        <f t="shared" si="18"/>
        <v>4.5008333333333335</v>
      </c>
      <c r="AW37" s="105">
        <f t="shared" si="19"/>
        <v>0.1649659863945579</v>
      </c>
      <c r="AY37" s="150">
        <f t="shared" si="29"/>
        <v>5.3900000000000006</v>
      </c>
      <c r="AZ37" s="151">
        <f t="shared" si="27"/>
        <v>0</v>
      </c>
      <c r="BA37" s="160">
        <f t="shared" si="25"/>
        <v>5.3900000000000006</v>
      </c>
      <c r="BB37" s="164"/>
      <c r="BD37" s="86" t="s">
        <v>106</v>
      </c>
      <c r="BE37" s="86" t="s">
        <v>263</v>
      </c>
      <c r="BF37" s="87" t="s">
        <v>264</v>
      </c>
      <c r="BG37" s="87">
        <v>387000650117</v>
      </c>
      <c r="BH37" s="86" t="s">
        <v>265</v>
      </c>
      <c r="BI37" s="86">
        <v>2222</v>
      </c>
      <c r="BJ37" s="86" t="s">
        <v>266</v>
      </c>
      <c r="BK37" s="86">
        <v>13312250</v>
      </c>
      <c r="BL37" s="86" t="s">
        <v>267</v>
      </c>
      <c r="BM37" s="86" t="s">
        <v>108</v>
      </c>
    </row>
    <row r="38" spans="1:65 16369:16369" s="106" customFormat="1" ht="14.25" customHeight="1" thickBot="1" x14ac:dyDescent="0.25">
      <c r="A38" s="89">
        <v>4.2000000000000003E-2</v>
      </c>
      <c r="B38" s="27">
        <f>VLOOKUP(F38,Planilha3!D:F,3,0)</f>
        <v>12.387493325971475</v>
      </c>
      <c r="C38" s="90">
        <f t="shared" si="20"/>
        <v>294.94031728503512</v>
      </c>
      <c r="D38" s="90" t="s">
        <v>76</v>
      </c>
      <c r="E38" s="90" t="s">
        <v>81</v>
      </c>
      <c r="F38" s="107">
        <v>904612</v>
      </c>
      <c r="G38" s="107">
        <v>1155188</v>
      </c>
      <c r="H38" s="92" t="s">
        <v>20</v>
      </c>
      <c r="I38" s="93">
        <v>12</v>
      </c>
      <c r="J38" s="93">
        <v>280</v>
      </c>
      <c r="K38" s="94">
        <f t="shared" si="32"/>
        <v>6720</v>
      </c>
      <c r="L38" s="195">
        <v>560</v>
      </c>
      <c r="M38" s="180">
        <f>L38/J38</f>
        <v>2</v>
      </c>
      <c r="N38" s="95">
        <f>L38/K38</f>
        <v>8.3333333333333329E-2</v>
      </c>
      <c r="O38" s="148">
        <v>85.23</v>
      </c>
      <c r="P38" s="135">
        <f t="shared" si="21"/>
        <v>7.1025</v>
      </c>
      <c r="Q38" s="108">
        <f t="shared" si="3"/>
        <v>10.8</v>
      </c>
      <c r="R38" s="108">
        <v>0.9</v>
      </c>
      <c r="S38" s="122">
        <f t="shared" si="4"/>
        <v>0.24</v>
      </c>
      <c r="T38" s="122">
        <v>0.02</v>
      </c>
      <c r="U38" s="121">
        <f t="shared" si="22"/>
        <v>0.92</v>
      </c>
      <c r="V38" s="121">
        <v>0.92</v>
      </c>
      <c r="W38" s="36">
        <f>VLOOKUP(F38,'[1]Proposta HNK para Tenda'!$F:$T,15,0)</f>
        <v>8.99</v>
      </c>
      <c r="X38" s="36">
        <f>VLOOKUP(F38,'[1]Proposta HNK para Tenda'!$F:$U,16,0)</f>
        <v>6.99</v>
      </c>
      <c r="Y38" s="36"/>
      <c r="Z38" s="98">
        <f t="shared" si="5"/>
        <v>6182.4000000000005</v>
      </c>
      <c r="AA38" s="99">
        <f t="shared" si="6"/>
        <v>47728.800000000003</v>
      </c>
      <c r="AB38" s="100">
        <f>L38*12*0.35/100</f>
        <v>23.52</v>
      </c>
      <c r="AC38" s="101"/>
      <c r="AD38" s="44">
        <f t="shared" si="7"/>
        <v>0.93051000000000006</v>
      </c>
      <c r="AE38" s="102">
        <f t="shared" si="8"/>
        <v>0.92</v>
      </c>
      <c r="AF38" s="102">
        <f t="shared" si="23"/>
        <v>1.0510000000000019E-2</v>
      </c>
      <c r="AH38" s="175">
        <v>265.86</v>
      </c>
      <c r="AI38" s="176">
        <f t="shared" si="9"/>
        <v>6253.0272000000004</v>
      </c>
      <c r="AJ38" s="176">
        <f t="shared" si="10"/>
        <v>0.93051000000000006</v>
      </c>
      <c r="AK38" s="103"/>
      <c r="AL38" s="103">
        <f t="shared" si="11"/>
        <v>0</v>
      </c>
      <c r="AM38" s="103">
        <f t="shared" si="12"/>
        <v>0</v>
      </c>
      <c r="AN38" s="7">
        <v>0</v>
      </c>
      <c r="AO38" s="138">
        <f t="shared" si="13"/>
        <v>0</v>
      </c>
      <c r="AP38" s="138">
        <f t="shared" si="14"/>
        <v>0</v>
      </c>
      <c r="AQ38" s="103">
        <f t="shared" si="15"/>
        <v>6253.0272000000004</v>
      </c>
      <c r="AR38" s="103">
        <f t="shared" si="15"/>
        <v>0.93051000000000006</v>
      </c>
      <c r="AS38" s="104">
        <f t="shared" si="16"/>
        <v>6182.4000000000005</v>
      </c>
      <c r="AT38" s="104">
        <f t="shared" si="24"/>
        <v>70.627199999999903</v>
      </c>
      <c r="AU38" s="103">
        <f t="shared" si="17"/>
        <v>7.1025</v>
      </c>
      <c r="AV38" s="104">
        <f t="shared" si="18"/>
        <v>6.1825000000000001</v>
      </c>
      <c r="AW38" s="105">
        <f t="shared" si="19"/>
        <v>0.11552217453505008</v>
      </c>
      <c r="AY38" s="150">
        <f t="shared" si="29"/>
        <v>6.99</v>
      </c>
      <c r="AZ38" s="151">
        <f t="shared" si="27"/>
        <v>0</v>
      </c>
      <c r="BA38" s="160">
        <f t="shared" si="25"/>
        <v>6.99</v>
      </c>
      <c r="BB38" s="164"/>
      <c r="BD38" s="86" t="s">
        <v>106</v>
      </c>
      <c r="BE38" s="86" t="s">
        <v>263</v>
      </c>
      <c r="BF38" s="87" t="s">
        <v>264</v>
      </c>
      <c r="BG38" s="87">
        <v>387000650117</v>
      </c>
      <c r="BH38" s="86" t="s">
        <v>265</v>
      </c>
      <c r="BI38" s="86">
        <v>2222</v>
      </c>
      <c r="BJ38" s="86" t="s">
        <v>266</v>
      </c>
      <c r="BK38" s="86">
        <v>13312250</v>
      </c>
      <c r="BL38" s="86" t="s">
        <v>267</v>
      </c>
      <c r="BM38" s="86" t="s">
        <v>108</v>
      </c>
    </row>
    <row r="39" spans="1:65 16369:16369" s="106" customFormat="1" ht="14.25" customHeight="1" thickBot="1" x14ac:dyDescent="0.25">
      <c r="A39" s="109">
        <v>8.5199999999999998E-2</v>
      </c>
      <c r="B39" s="27">
        <f>VLOOKUP(F39,Planilha3!D:F,3,0)</f>
        <v>5.0098310064648448</v>
      </c>
      <c r="C39" s="90">
        <f t="shared" si="20"/>
        <v>58.800833409211798</v>
      </c>
      <c r="D39" s="90" t="s">
        <v>76</v>
      </c>
      <c r="E39" s="90" t="s">
        <v>81</v>
      </c>
      <c r="F39" s="107">
        <v>904602</v>
      </c>
      <c r="G39" s="107">
        <v>1160869</v>
      </c>
      <c r="H39" s="92" t="s">
        <v>19</v>
      </c>
      <c r="I39" s="93">
        <v>24</v>
      </c>
      <c r="J39" s="93">
        <v>56</v>
      </c>
      <c r="K39" s="94">
        <f t="shared" si="32"/>
        <v>1344</v>
      </c>
      <c r="L39" s="196">
        <v>168</v>
      </c>
      <c r="M39" s="180">
        <f>L39/J39</f>
        <v>3</v>
      </c>
      <c r="N39" s="95">
        <f>L39/K39</f>
        <v>0.125</v>
      </c>
      <c r="O39" s="148">
        <v>208.37</v>
      </c>
      <c r="P39" s="135">
        <f t="shared" si="21"/>
        <v>8.6820833333333329</v>
      </c>
      <c r="Q39" s="96">
        <f t="shared" si="3"/>
        <v>0</v>
      </c>
      <c r="R39" s="96">
        <v>0</v>
      </c>
      <c r="S39" s="97">
        <f t="shared" si="4"/>
        <v>0</v>
      </c>
      <c r="T39" s="97">
        <v>0</v>
      </c>
      <c r="U39" s="121">
        <f t="shared" si="22"/>
        <v>0</v>
      </c>
      <c r="V39" s="121">
        <v>0</v>
      </c>
      <c r="W39" s="36">
        <f>VLOOKUP(F39,'[1]Proposta HNK para Tenda'!$F:$T,15,0)</f>
        <v>10.99</v>
      </c>
      <c r="X39" s="36">
        <f>VLOOKUP(F39,'[1]Proposta HNK para Tenda'!$F:$U,16,0)</f>
        <v>10.99</v>
      </c>
      <c r="Y39" s="36"/>
      <c r="Z39" s="98">
        <f t="shared" si="5"/>
        <v>0</v>
      </c>
      <c r="AA39" s="99">
        <f t="shared" si="6"/>
        <v>35006.160000000003</v>
      </c>
      <c r="AB39" s="100">
        <f>L39*24*0.355/100</f>
        <v>14.313599999999999</v>
      </c>
      <c r="AC39" s="101"/>
      <c r="AD39" s="44">
        <f t="shared" si="7"/>
        <v>0</v>
      </c>
      <c r="AE39" s="102">
        <f t="shared" si="8"/>
        <v>0</v>
      </c>
      <c r="AF39" s="102">
        <f t="shared" si="23"/>
        <v>0</v>
      </c>
      <c r="AH39" s="137">
        <v>0</v>
      </c>
      <c r="AI39" s="103">
        <f t="shared" si="9"/>
        <v>0</v>
      </c>
      <c r="AJ39" s="103">
        <f t="shared" si="10"/>
        <v>0</v>
      </c>
      <c r="AK39" s="103"/>
      <c r="AL39" s="103">
        <f t="shared" si="11"/>
        <v>0</v>
      </c>
      <c r="AM39" s="103">
        <f t="shared" si="12"/>
        <v>0</v>
      </c>
      <c r="AN39" s="7">
        <v>0</v>
      </c>
      <c r="AO39" s="138">
        <f t="shared" si="13"/>
        <v>0</v>
      </c>
      <c r="AP39" s="138">
        <f t="shared" si="14"/>
        <v>0</v>
      </c>
      <c r="AQ39" s="103">
        <f t="shared" si="15"/>
        <v>0</v>
      </c>
      <c r="AR39" s="103">
        <f t="shared" si="15"/>
        <v>0</v>
      </c>
      <c r="AS39" s="104">
        <f t="shared" si="16"/>
        <v>0</v>
      </c>
      <c r="AT39" s="104">
        <f t="shared" si="24"/>
        <v>0</v>
      </c>
      <c r="AU39" s="103">
        <f t="shared" si="17"/>
        <v>8.6820833333333329</v>
      </c>
      <c r="AV39" s="104">
        <f t="shared" si="18"/>
        <v>8.6820833333333329</v>
      </c>
      <c r="AW39" s="105">
        <f t="shared" si="19"/>
        <v>0.21000151653017901</v>
      </c>
      <c r="AY39" s="150">
        <f t="shared" si="29"/>
        <v>10.99</v>
      </c>
      <c r="AZ39" s="151">
        <f t="shared" si="27"/>
        <v>0</v>
      </c>
      <c r="BA39" s="160">
        <f t="shared" si="25"/>
        <v>10.99</v>
      </c>
      <c r="BB39" s="164"/>
      <c r="BD39" s="86" t="s">
        <v>106</v>
      </c>
      <c r="BE39" s="86" t="s">
        <v>263</v>
      </c>
      <c r="BF39" s="87" t="s">
        <v>264</v>
      </c>
      <c r="BG39" s="87">
        <v>387000650117</v>
      </c>
      <c r="BH39" s="86" t="s">
        <v>265</v>
      </c>
      <c r="BI39" s="86">
        <v>2222</v>
      </c>
      <c r="BJ39" s="86" t="s">
        <v>266</v>
      </c>
      <c r="BK39" s="86">
        <v>13312250</v>
      </c>
      <c r="BL39" s="86" t="s">
        <v>267</v>
      </c>
      <c r="BM39" s="86" t="s">
        <v>108</v>
      </c>
    </row>
    <row r="40" spans="1:65 16369:16369" s="106" customFormat="1" ht="14.25" customHeight="1" thickBot="1" x14ac:dyDescent="0.25">
      <c r="A40" s="89">
        <v>4.2000000000000003E-2</v>
      </c>
      <c r="B40" s="27">
        <f>VLOOKUP(F40,Planilha3!D:F,3,0)</f>
        <v>17.452561060258553</v>
      </c>
      <c r="C40" s="90">
        <f t="shared" si="20"/>
        <v>415.53716810139412</v>
      </c>
      <c r="D40" s="90" t="s">
        <v>76</v>
      </c>
      <c r="E40" s="90" t="s">
        <v>79</v>
      </c>
      <c r="F40" s="107">
        <v>903681</v>
      </c>
      <c r="G40" s="107">
        <v>1110090</v>
      </c>
      <c r="H40" s="92" t="s">
        <v>18</v>
      </c>
      <c r="I40" s="93">
        <v>12</v>
      </c>
      <c r="J40" s="93">
        <v>280</v>
      </c>
      <c r="K40" s="94">
        <f>J40*24</f>
        <v>6720</v>
      </c>
      <c r="L40" s="195">
        <v>3920</v>
      </c>
      <c r="M40" s="180">
        <f t="shared" si="1"/>
        <v>14</v>
      </c>
      <c r="N40" s="95">
        <f t="shared" si="33"/>
        <v>0.58333333333333337</v>
      </c>
      <c r="O40" s="148">
        <v>53.94</v>
      </c>
      <c r="P40" s="135">
        <f t="shared" si="21"/>
        <v>4.4950000000000001</v>
      </c>
      <c r="Q40" s="108">
        <f t="shared" si="3"/>
        <v>3.24</v>
      </c>
      <c r="R40" s="108">
        <v>0.27</v>
      </c>
      <c r="S40" s="122">
        <f t="shared" si="4"/>
        <v>0</v>
      </c>
      <c r="T40" s="122">
        <v>0</v>
      </c>
      <c r="U40" s="121">
        <f t="shared" si="22"/>
        <v>0.27</v>
      </c>
      <c r="V40" s="121">
        <v>0.27</v>
      </c>
      <c r="W40" s="36">
        <v>5.69</v>
      </c>
      <c r="X40" s="36">
        <v>5.0900000000000007</v>
      </c>
      <c r="Y40" s="36"/>
      <c r="Z40" s="98">
        <f t="shared" si="5"/>
        <v>12700.800000000001</v>
      </c>
      <c r="AA40" s="99">
        <f t="shared" si="6"/>
        <v>211444.8</v>
      </c>
      <c r="AB40" s="100">
        <f>L40*12*0.35/100</f>
        <v>164.64</v>
      </c>
      <c r="AC40" s="101"/>
      <c r="AD40" s="44">
        <f t="shared" si="7"/>
        <v>0.26690999999999998</v>
      </c>
      <c r="AE40" s="102">
        <f t="shared" si="8"/>
        <v>0.27</v>
      </c>
      <c r="AF40" s="102">
        <f t="shared" si="23"/>
        <v>-3.0900000000000372E-3</v>
      </c>
      <c r="AH40" s="175">
        <v>76.260000000000005</v>
      </c>
      <c r="AI40" s="176">
        <f t="shared" si="9"/>
        <v>12555.446399999999</v>
      </c>
      <c r="AJ40" s="176">
        <f t="shared" si="10"/>
        <v>0.26690999999999998</v>
      </c>
      <c r="AK40" s="103"/>
      <c r="AL40" s="103">
        <f t="shared" si="11"/>
        <v>0</v>
      </c>
      <c r="AM40" s="103">
        <f t="shared" si="12"/>
        <v>0</v>
      </c>
      <c r="AN40" s="7">
        <v>0</v>
      </c>
      <c r="AO40" s="138">
        <f t="shared" si="13"/>
        <v>0</v>
      </c>
      <c r="AP40" s="138">
        <f t="shared" si="14"/>
        <v>0</v>
      </c>
      <c r="AQ40" s="103">
        <f t="shared" si="15"/>
        <v>12555.446399999999</v>
      </c>
      <c r="AR40" s="103">
        <f t="shared" si="15"/>
        <v>0.26690999999999998</v>
      </c>
      <c r="AS40" s="104">
        <f t="shared" si="16"/>
        <v>12700.800000000001</v>
      </c>
      <c r="AT40" s="104">
        <f t="shared" si="24"/>
        <v>-145.35360000000219</v>
      </c>
      <c r="AU40" s="103">
        <f t="shared" si="17"/>
        <v>4.4950000000000001</v>
      </c>
      <c r="AV40" s="104">
        <f t="shared" si="18"/>
        <v>4.2249999999999996</v>
      </c>
      <c r="AW40" s="105">
        <f t="shared" si="19"/>
        <v>0.16994106090373301</v>
      </c>
      <c r="AY40" s="150">
        <f t="shared" si="29"/>
        <v>5.0900000000000007</v>
      </c>
      <c r="AZ40" s="151">
        <f t="shared" si="27"/>
        <v>0</v>
      </c>
      <c r="BA40" s="160">
        <f t="shared" si="25"/>
        <v>5.0900000000000007</v>
      </c>
      <c r="BB40" s="164"/>
      <c r="BD40" s="86" t="s">
        <v>106</v>
      </c>
      <c r="BE40" s="86" t="s">
        <v>263</v>
      </c>
      <c r="BF40" s="87" t="s">
        <v>264</v>
      </c>
      <c r="BG40" s="87">
        <v>387000650117</v>
      </c>
      <c r="BH40" s="86" t="s">
        <v>265</v>
      </c>
      <c r="BI40" s="86">
        <v>2222</v>
      </c>
      <c r="BJ40" s="86" t="s">
        <v>266</v>
      </c>
      <c r="BK40" s="86">
        <v>13312250</v>
      </c>
      <c r="BL40" s="86" t="s">
        <v>267</v>
      </c>
      <c r="BM40" s="86" t="s">
        <v>108</v>
      </c>
    </row>
    <row r="41" spans="1:65 16369:16369" s="106" customFormat="1" ht="14.25" customHeight="1" thickBot="1" x14ac:dyDescent="0.25">
      <c r="A41" s="109">
        <v>4.2599999999999999E-2</v>
      </c>
      <c r="B41" s="27">
        <f>VLOOKUP(F41,Planilha3!D:F,3,0)</f>
        <v>5.894933361411514</v>
      </c>
      <c r="C41" s="90">
        <f t="shared" si="20"/>
        <v>138.37871740402616</v>
      </c>
      <c r="D41" s="90" t="s">
        <v>76</v>
      </c>
      <c r="E41" s="90" t="s">
        <v>79</v>
      </c>
      <c r="F41" s="107">
        <v>903741</v>
      </c>
      <c r="G41" s="107">
        <v>1080284</v>
      </c>
      <c r="H41" s="92" t="s">
        <v>17</v>
      </c>
      <c r="I41" s="93">
        <v>12</v>
      </c>
      <c r="J41" s="93">
        <v>175</v>
      </c>
      <c r="K41" s="94">
        <f t="shared" ref="K41:K47" si="34">J41*24</f>
        <v>4200</v>
      </c>
      <c r="L41" s="196">
        <v>700</v>
      </c>
      <c r="M41" s="180">
        <f t="shared" si="1"/>
        <v>4</v>
      </c>
      <c r="N41" s="95">
        <f t="shared" si="33"/>
        <v>0.16666666666666666</v>
      </c>
      <c r="O41" s="148">
        <v>64.37</v>
      </c>
      <c r="P41" s="135">
        <f t="shared" si="21"/>
        <v>5.3641666666666667</v>
      </c>
      <c r="Q41" s="96">
        <f t="shared" si="3"/>
        <v>0</v>
      </c>
      <c r="R41" s="96">
        <v>0</v>
      </c>
      <c r="S41" s="97">
        <f t="shared" si="4"/>
        <v>0</v>
      </c>
      <c r="T41" s="97">
        <v>0</v>
      </c>
      <c r="U41" s="121">
        <f t="shared" si="22"/>
        <v>0</v>
      </c>
      <c r="V41" s="121">
        <v>0</v>
      </c>
      <c r="W41" s="36">
        <v>6.7900000000000009</v>
      </c>
      <c r="X41" s="36">
        <v>6.7900000000000009</v>
      </c>
      <c r="Y41" s="36"/>
      <c r="Z41" s="98">
        <f t="shared" si="5"/>
        <v>0</v>
      </c>
      <c r="AA41" s="99">
        <f t="shared" si="6"/>
        <v>45059</v>
      </c>
      <c r="AB41" s="100">
        <f>L41*12*0.355/100</f>
        <v>29.82</v>
      </c>
      <c r="AC41" s="101"/>
      <c r="AD41" s="44">
        <f t="shared" si="7"/>
        <v>0</v>
      </c>
      <c r="AE41" s="102">
        <f t="shared" si="8"/>
        <v>0</v>
      </c>
      <c r="AF41" s="102">
        <f t="shared" si="23"/>
        <v>0</v>
      </c>
      <c r="AH41" s="137">
        <v>0</v>
      </c>
      <c r="AI41" s="103">
        <f t="shared" si="9"/>
        <v>0</v>
      </c>
      <c r="AJ41" s="103">
        <f t="shared" si="10"/>
        <v>0</v>
      </c>
      <c r="AK41" s="103"/>
      <c r="AL41" s="103">
        <f t="shared" si="11"/>
        <v>0</v>
      </c>
      <c r="AM41" s="103">
        <f t="shared" si="12"/>
        <v>0</v>
      </c>
      <c r="AN41" s="7">
        <v>0</v>
      </c>
      <c r="AO41" s="138">
        <f t="shared" si="13"/>
        <v>0</v>
      </c>
      <c r="AP41" s="138">
        <f t="shared" si="14"/>
        <v>0</v>
      </c>
      <c r="AQ41" s="103">
        <f t="shared" si="15"/>
        <v>0</v>
      </c>
      <c r="AR41" s="103">
        <f t="shared" si="15"/>
        <v>0</v>
      </c>
      <c r="AS41" s="104">
        <f t="shared" si="16"/>
        <v>0</v>
      </c>
      <c r="AT41" s="104">
        <f t="shared" si="24"/>
        <v>0</v>
      </c>
      <c r="AU41" s="103">
        <f t="shared" si="17"/>
        <v>5.3641666666666667</v>
      </c>
      <c r="AV41" s="104">
        <f t="shared" si="18"/>
        <v>5.3641666666666667</v>
      </c>
      <c r="AW41" s="105">
        <f t="shared" si="19"/>
        <v>0.20999018163966626</v>
      </c>
      <c r="AY41" s="150">
        <f t="shared" si="29"/>
        <v>6.7900000000000009</v>
      </c>
      <c r="AZ41" s="151">
        <f t="shared" si="27"/>
        <v>0</v>
      </c>
      <c r="BA41" s="160">
        <f t="shared" si="25"/>
        <v>6.7900000000000009</v>
      </c>
      <c r="BB41" s="164"/>
      <c r="BD41" s="86" t="s">
        <v>106</v>
      </c>
      <c r="BE41" s="86" t="s">
        <v>263</v>
      </c>
      <c r="BF41" s="87" t="s">
        <v>264</v>
      </c>
      <c r="BG41" s="87">
        <v>387000650117</v>
      </c>
      <c r="BH41" s="86" t="s">
        <v>265</v>
      </c>
      <c r="BI41" s="86">
        <v>2222</v>
      </c>
      <c r="BJ41" s="86" t="s">
        <v>266</v>
      </c>
      <c r="BK41" s="86">
        <v>13312250</v>
      </c>
      <c r="BL41" s="86" t="s">
        <v>267</v>
      </c>
      <c r="BM41" s="86" t="s">
        <v>108</v>
      </c>
    </row>
    <row r="42" spans="1:65 16369:16369" s="106" customFormat="1" ht="14.25" customHeight="1" thickBot="1" x14ac:dyDescent="0.25">
      <c r="A42" s="109">
        <v>4.2599999999999999E-2</v>
      </c>
      <c r="B42" s="27">
        <f>VLOOKUP(F42,Planilha3!D:F,3,0)</f>
        <v>5.6291775156513468</v>
      </c>
      <c r="C42" s="90">
        <f t="shared" si="20"/>
        <v>132.14031726881097</v>
      </c>
      <c r="D42" s="90" t="s">
        <v>76</v>
      </c>
      <c r="E42" s="90" t="s">
        <v>79</v>
      </c>
      <c r="F42" s="107">
        <v>902544</v>
      </c>
      <c r="G42" s="107">
        <v>1041649</v>
      </c>
      <c r="H42" s="92" t="s">
        <v>15</v>
      </c>
      <c r="I42" s="93">
        <v>12</v>
      </c>
      <c r="J42" s="93">
        <v>175</v>
      </c>
      <c r="K42" s="94">
        <f t="shared" si="34"/>
        <v>4200</v>
      </c>
      <c r="L42" s="196">
        <v>700</v>
      </c>
      <c r="M42" s="180">
        <f t="shared" si="1"/>
        <v>4</v>
      </c>
      <c r="N42" s="95">
        <f t="shared" si="33"/>
        <v>0.16666666666666666</v>
      </c>
      <c r="O42" s="148">
        <v>64.37</v>
      </c>
      <c r="P42" s="135">
        <f t="shared" si="21"/>
        <v>5.3641666666666667</v>
      </c>
      <c r="Q42" s="96">
        <f t="shared" si="3"/>
        <v>0</v>
      </c>
      <c r="R42" s="96">
        <v>0</v>
      </c>
      <c r="S42" s="97">
        <f t="shared" si="4"/>
        <v>0</v>
      </c>
      <c r="T42" s="97">
        <v>0</v>
      </c>
      <c r="U42" s="121">
        <f t="shared" si="22"/>
        <v>0</v>
      </c>
      <c r="V42" s="121">
        <v>0</v>
      </c>
      <c r="W42" s="36">
        <v>6.7900000000000009</v>
      </c>
      <c r="X42" s="36">
        <v>6.7900000000000009</v>
      </c>
      <c r="Y42" s="36"/>
      <c r="Z42" s="98">
        <f t="shared" si="5"/>
        <v>0</v>
      </c>
      <c r="AA42" s="99">
        <f t="shared" si="6"/>
        <v>45059</v>
      </c>
      <c r="AB42" s="100">
        <f>L42*12*0.355/100</f>
        <v>29.82</v>
      </c>
      <c r="AC42" s="101"/>
      <c r="AD42" s="44">
        <f t="shared" si="7"/>
        <v>0</v>
      </c>
      <c r="AE42" s="102">
        <f t="shared" si="8"/>
        <v>0</v>
      </c>
      <c r="AF42" s="102">
        <f t="shared" si="23"/>
        <v>0</v>
      </c>
      <c r="AH42" s="137">
        <v>0</v>
      </c>
      <c r="AI42" s="103">
        <f t="shared" si="9"/>
        <v>0</v>
      </c>
      <c r="AJ42" s="103">
        <f t="shared" si="10"/>
        <v>0</v>
      </c>
      <c r="AK42" s="103"/>
      <c r="AL42" s="103">
        <f t="shared" si="11"/>
        <v>0</v>
      </c>
      <c r="AM42" s="103">
        <f t="shared" si="12"/>
        <v>0</v>
      </c>
      <c r="AN42" s="7">
        <v>0</v>
      </c>
      <c r="AO42" s="138">
        <f t="shared" si="13"/>
        <v>0</v>
      </c>
      <c r="AP42" s="138">
        <f t="shared" si="14"/>
        <v>0</v>
      </c>
      <c r="AQ42" s="103">
        <f t="shared" si="15"/>
        <v>0</v>
      </c>
      <c r="AR42" s="103">
        <f t="shared" si="15"/>
        <v>0</v>
      </c>
      <c r="AS42" s="104">
        <f t="shared" si="16"/>
        <v>0</v>
      </c>
      <c r="AT42" s="104">
        <f t="shared" si="24"/>
        <v>0</v>
      </c>
      <c r="AU42" s="103">
        <f t="shared" si="17"/>
        <v>5.3641666666666667</v>
      </c>
      <c r="AV42" s="104">
        <f t="shared" si="18"/>
        <v>5.3641666666666667</v>
      </c>
      <c r="AW42" s="105">
        <f t="shared" si="19"/>
        <v>0.20999018163966626</v>
      </c>
      <c r="AY42" s="150">
        <f t="shared" si="29"/>
        <v>6.7900000000000009</v>
      </c>
      <c r="AZ42" s="151">
        <f t="shared" si="27"/>
        <v>0</v>
      </c>
      <c r="BA42" s="160">
        <f t="shared" si="25"/>
        <v>6.7900000000000009</v>
      </c>
      <c r="BB42" s="164"/>
      <c r="BD42" s="86" t="s">
        <v>106</v>
      </c>
      <c r="BE42" s="86" t="s">
        <v>263</v>
      </c>
      <c r="BF42" s="87" t="s">
        <v>264</v>
      </c>
      <c r="BG42" s="87">
        <v>387000650117</v>
      </c>
      <c r="BH42" s="86" t="s">
        <v>265</v>
      </c>
      <c r="BI42" s="86">
        <v>2222</v>
      </c>
      <c r="BJ42" s="86" t="s">
        <v>266</v>
      </c>
      <c r="BK42" s="86">
        <v>13312250</v>
      </c>
      <c r="BL42" s="86" t="s">
        <v>267</v>
      </c>
      <c r="BM42" s="86" t="s">
        <v>108</v>
      </c>
    </row>
    <row r="43" spans="1:65 16369:16369" s="106" customFormat="1" ht="14.25" customHeight="1" thickBot="1" x14ac:dyDescent="0.25">
      <c r="A43" s="89">
        <v>4.2000000000000003E-2</v>
      </c>
      <c r="B43" s="27">
        <f>VLOOKUP(F43,Planilha3!D:F,3,0)</f>
        <v>33.175374857016735</v>
      </c>
      <c r="C43" s="90">
        <f t="shared" si="20"/>
        <v>789.88987754801747</v>
      </c>
      <c r="D43" s="90" t="s">
        <v>76</v>
      </c>
      <c r="E43" s="90" t="s">
        <v>79</v>
      </c>
      <c r="F43" s="107">
        <v>903683</v>
      </c>
      <c r="G43" s="107">
        <v>1110091</v>
      </c>
      <c r="H43" s="92" t="s">
        <v>16</v>
      </c>
      <c r="I43" s="93">
        <v>12</v>
      </c>
      <c r="J43" s="93">
        <v>280</v>
      </c>
      <c r="K43" s="94">
        <f t="shared" si="34"/>
        <v>6720</v>
      </c>
      <c r="L43" s="195">
        <v>840</v>
      </c>
      <c r="M43" s="180">
        <f t="shared" si="1"/>
        <v>3</v>
      </c>
      <c r="N43" s="95">
        <f t="shared" si="33"/>
        <v>0.125</v>
      </c>
      <c r="O43" s="148">
        <v>53.94</v>
      </c>
      <c r="P43" s="135">
        <f t="shared" si="21"/>
        <v>4.4950000000000001</v>
      </c>
      <c r="Q43" s="108">
        <f t="shared" si="3"/>
        <v>3.24</v>
      </c>
      <c r="R43" s="108">
        <v>0.27</v>
      </c>
      <c r="S43" s="122">
        <f t="shared" si="4"/>
        <v>0</v>
      </c>
      <c r="T43" s="122">
        <v>0</v>
      </c>
      <c r="U43" s="121">
        <f t="shared" si="22"/>
        <v>0.27</v>
      </c>
      <c r="V43" s="121">
        <v>0.27</v>
      </c>
      <c r="W43" s="36">
        <v>5.69</v>
      </c>
      <c r="X43" s="36">
        <v>5.0900000000000007</v>
      </c>
      <c r="Y43" s="36"/>
      <c r="Z43" s="98">
        <f t="shared" si="5"/>
        <v>2721.6000000000004</v>
      </c>
      <c r="AA43" s="99">
        <f t="shared" si="6"/>
        <v>45309.599999999999</v>
      </c>
      <c r="AB43" s="100">
        <f>L43*12*0.35/100</f>
        <v>35.28</v>
      </c>
      <c r="AC43" s="101"/>
      <c r="AD43" s="44">
        <f t="shared" si="7"/>
        <v>0.26691000000000004</v>
      </c>
      <c r="AE43" s="102">
        <f t="shared" si="8"/>
        <v>0.27</v>
      </c>
      <c r="AF43" s="102">
        <f t="shared" si="23"/>
        <v>-3.0899999999999817E-3</v>
      </c>
      <c r="AH43" s="175">
        <v>76.260000000000005</v>
      </c>
      <c r="AI43" s="176">
        <f t="shared" si="9"/>
        <v>2690.4528000000005</v>
      </c>
      <c r="AJ43" s="176">
        <f t="shared" si="10"/>
        <v>0.26691000000000004</v>
      </c>
      <c r="AK43" s="103"/>
      <c r="AL43" s="103">
        <f t="shared" si="11"/>
        <v>0</v>
      </c>
      <c r="AM43" s="103">
        <f t="shared" si="12"/>
        <v>0</v>
      </c>
      <c r="AN43" s="7">
        <v>0</v>
      </c>
      <c r="AO43" s="138">
        <f t="shared" si="13"/>
        <v>0</v>
      </c>
      <c r="AP43" s="138">
        <f t="shared" si="14"/>
        <v>0</v>
      </c>
      <c r="AQ43" s="103">
        <f t="shared" si="15"/>
        <v>2690.4528000000005</v>
      </c>
      <c r="AR43" s="103">
        <f t="shared" si="15"/>
        <v>0.26691000000000004</v>
      </c>
      <c r="AS43" s="104">
        <f t="shared" si="16"/>
        <v>2721.6000000000004</v>
      </c>
      <c r="AT43" s="104">
        <f t="shared" si="24"/>
        <v>-31.147199999999884</v>
      </c>
      <c r="AU43" s="103">
        <f t="shared" si="17"/>
        <v>4.4950000000000001</v>
      </c>
      <c r="AV43" s="104">
        <f t="shared" si="18"/>
        <v>4.2249999999999996</v>
      </c>
      <c r="AW43" s="105">
        <f t="shared" si="19"/>
        <v>0.16994106090373301</v>
      </c>
      <c r="AY43" s="150">
        <f t="shared" si="29"/>
        <v>5.0900000000000007</v>
      </c>
      <c r="AZ43" s="151">
        <f t="shared" si="27"/>
        <v>0</v>
      </c>
      <c r="BA43" s="160">
        <f t="shared" si="25"/>
        <v>5.0900000000000007</v>
      </c>
      <c r="BB43" s="164"/>
      <c r="BD43" s="86" t="s">
        <v>106</v>
      </c>
      <c r="BE43" s="86" t="s">
        <v>263</v>
      </c>
      <c r="BF43" s="87" t="s">
        <v>264</v>
      </c>
      <c r="BG43" s="87">
        <v>387000650117</v>
      </c>
      <c r="BH43" s="86" t="s">
        <v>265</v>
      </c>
      <c r="BI43" s="86">
        <v>2222</v>
      </c>
      <c r="BJ43" s="86" t="s">
        <v>266</v>
      </c>
      <c r="BK43" s="86">
        <v>13312250</v>
      </c>
      <c r="BL43" s="86" t="s">
        <v>267</v>
      </c>
      <c r="BM43" s="86" t="s">
        <v>108</v>
      </c>
    </row>
    <row r="44" spans="1:65 16369:16369" s="106" customFormat="1" ht="14.25" customHeight="1" thickBot="1" x14ac:dyDescent="0.25">
      <c r="A44" s="89">
        <v>4.2000000000000003E-2</v>
      </c>
      <c r="B44" s="27">
        <v>0</v>
      </c>
      <c r="C44" s="90">
        <f t="shared" si="20"/>
        <v>0</v>
      </c>
      <c r="D44" s="90" t="s">
        <v>76</v>
      </c>
      <c r="E44" s="90" t="s">
        <v>79</v>
      </c>
      <c r="F44" s="107">
        <v>904773</v>
      </c>
      <c r="G44" s="107">
        <v>1170235</v>
      </c>
      <c r="H44" s="92" t="s">
        <v>14</v>
      </c>
      <c r="I44" s="93">
        <v>12</v>
      </c>
      <c r="J44" s="93">
        <v>280</v>
      </c>
      <c r="K44" s="94">
        <f t="shared" si="34"/>
        <v>6720</v>
      </c>
      <c r="L44" s="196">
        <v>1400</v>
      </c>
      <c r="M44" s="180">
        <f t="shared" si="1"/>
        <v>5</v>
      </c>
      <c r="N44" s="95">
        <f t="shared" si="33"/>
        <v>0.20833333333333334</v>
      </c>
      <c r="O44" s="148">
        <v>53.94</v>
      </c>
      <c r="P44" s="135">
        <f t="shared" si="21"/>
        <v>4.4950000000000001</v>
      </c>
      <c r="Q44" s="108">
        <f t="shared" si="3"/>
        <v>3.24</v>
      </c>
      <c r="R44" s="108">
        <v>0.27</v>
      </c>
      <c r="S44" s="122">
        <f t="shared" si="4"/>
        <v>0</v>
      </c>
      <c r="T44" s="122">
        <v>0</v>
      </c>
      <c r="U44" s="121">
        <f t="shared" si="22"/>
        <v>0.27</v>
      </c>
      <c r="V44" s="121">
        <v>0.27</v>
      </c>
      <c r="W44" s="36">
        <v>5.69</v>
      </c>
      <c r="X44" s="36">
        <v>5.0900000000000007</v>
      </c>
      <c r="Y44" s="36"/>
      <c r="Z44" s="98">
        <f t="shared" si="5"/>
        <v>4536</v>
      </c>
      <c r="AA44" s="99">
        <f t="shared" si="6"/>
        <v>75516</v>
      </c>
      <c r="AB44" s="100">
        <f>L44*12*0.35/100</f>
        <v>58.8</v>
      </c>
      <c r="AC44" s="101"/>
      <c r="AD44" s="44">
        <f t="shared" si="7"/>
        <v>0.26690999999999998</v>
      </c>
      <c r="AE44" s="102">
        <f t="shared" si="8"/>
        <v>0.27</v>
      </c>
      <c r="AF44" s="102">
        <f t="shared" si="23"/>
        <v>-3.0900000000000372E-3</v>
      </c>
      <c r="AH44" s="175">
        <v>76.260000000000005</v>
      </c>
      <c r="AI44" s="176">
        <f t="shared" si="9"/>
        <v>4484.0879999999997</v>
      </c>
      <c r="AJ44" s="176">
        <f t="shared" si="10"/>
        <v>0.26690999999999998</v>
      </c>
      <c r="AK44" s="103"/>
      <c r="AL44" s="103">
        <f t="shared" si="11"/>
        <v>0</v>
      </c>
      <c r="AM44" s="103">
        <f t="shared" si="12"/>
        <v>0</v>
      </c>
      <c r="AN44" s="7">
        <v>0</v>
      </c>
      <c r="AO44" s="138">
        <f t="shared" si="13"/>
        <v>0</v>
      </c>
      <c r="AP44" s="138">
        <f t="shared" si="14"/>
        <v>0</v>
      </c>
      <c r="AQ44" s="103">
        <f t="shared" si="15"/>
        <v>4484.0879999999997</v>
      </c>
      <c r="AR44" s="103">
        <f t="shared" si="15"/>
        <v>0.26690999999999998</v>
      </c>
      <c r="AS44" s="104">
        <f t="shared" si="16"/>
        <v>4536</v>
      </c>
      <c r="AT44" s="104">
        <f t="shared" si="24"/>
        <v>-51.912000000000262</v>
      </c>
      <c r="AU44" s="103">
        <f t="shared" si="17"/>
        <v>4.4950000000000001</v>
      </c>
      <c r="AV44" s="104">
        <f t="shared" si="18"/>
        <v>4.2249999999999996</v>
      </c>
      <c r="AW44" s="105">
        <f t="shared" si="19"/>
        <v>0.16994106090373301</v>
      </c>
      <c r="AY44" s="150">
        <f t="shared" si="29"/>
        <v>5.0900000000000007</v>
      </c>
      <c r="AZ44" s="151">
        <f t="shared" si="27"/>
        <v>0</v>
      </c>
      <c r="BA44" s="160">
        <f t="shared" si="25"/>
        <v>5.0900000000000007</v>
      </c>
      <c r="BB44" s="164"/>
      <c r="BD44" s="86" t="s">
        <v>106</v>
      </c>
      <c r="BE44" s="86" t="s">
        <v>263</v>
      </c>
      <c r="BF44" s="87" t="s">
        <v>264</v>
      </c>
      <c r="BG44" s="87">
        <v>387000650117</v>
      </c>
      <c r="BH44" s="86" t="s">
        <v>265</v>
      </c>
      <c r="BI44" s="86">
        <v>2222</v>
      </c>
      <c r="BJ44" s="86" t="s">
        <v>266</v>
      </c>
      <c r="BK44" s="86">
        <v>13312250</v>
      </c>
      <c r="BL44" s="86" t="s">
        <v>267</v>
      </c>
      <c r="BM44" s="86" t="s">
        <v>108</v>
      </c>
    </row>
    <row r="45" spans="1:65 16369:16369" s="106" customFormat="1" ht="14.25" customHeight="1" thickBot="1" x14ac:dyDescent="0.25">
      <c r="A45" s="109">
        <v>4.2599999999999999E-2</v>
      </c>
      <c r="B45" s="27">
        <f>VLOOKUP(F45,Planilha3!D:F,3,0)</f>
        <v>3.9785143998218149</v>
      </c>
      <c r="C45" s="90">
        <f t="shared" si="20"/>
        <v>93.392356803328994</v>
      </c>
      <c r="D45" s="90" t="s">
        <v>76</v>
      </c>
      <c r="E45" s="90" t="s">
        <v>79</v>
      </c>
      <c r="F45" s="107">
        <v>902581</v>
      </c>
      <c r="G45" s="107">
        <v>1017033</v>
      </c>
      <c r="H45" s="92" t="s">
        <v>13</v>
      </c>
      <c r="I45" s="93">
        <v>12</v>
      </c>
      <c r="J45" s="93">
        <v>175</v>
      </c>
      <c r="K45" s="94">
        <f t="shared" si="34"/>
        <v>4200</v>
      </c>
      <c r="L45" s="196">
        <v>350</v>
      </c>
      <c r="M45" s="180">
        <f t="shared" si="1"/>
        <v>2</v>
      </c>
      <c r="N45" s="95">
        <f t="shared" si="33"/>
        <v>8.3333333333333329E-2</v>
      </c>
      <c r="O45" s="148">
        <v>64.37</v>
      </c>
      <c r="P45" s="135">
        <f t="shared" si="21"/>
        <v>5.3641666666666667</v>
      </c>
      <c r="Q45" s="96">
        <f t="shared" si="3"/>
        <v>0</v>
      </c>
      <c r="R45" s="96">
        <v>0</v>
      </c>
      <c r="S45" s="97">
        <f t="shared" si="4"/>
        <v>0</v>
      </c>
      <c r="T45" s="97">
        <v>0</v>
      </c>
      <c r="U45" s="121">
        <f t="shared" si="22"/>
        <v>0</v>
      </c>
      <c r="V45" s="121">
        <v>0</v>
      </c>
      <c r="W45" s="36">
        <v>6.7900000000000009</v>
      </c>
      <c r="X45" s="36">
        <v>6.7900000000000009</v>
      </c>
      <c r="Y45" s="36"/>
      <c r="Z45" s="98">
        <f t="shared" si="5"/>
        <v>0</v>
      </c>
      <c r="AA45" s="99">
        <f t="shared" si="6"/>
        <v>22529.5</v>
      </c>
      <c r="AB45" s="100">
        <f>L45*12*0.355/100</f>
        <v>14.91</v>
      </c>
      <c r="AC45" s="101"/>
      <c r="AD45" s="44">
        <f t="shared" si="7"/>
        <v>0</v>
      </c>
      <c r="AE45" s="102">
        <f t="shared" si="8"/>
        <v>0</v>
      </c>
      <c r="AF45" s="102">
        <f t="shared" si="23"/>
        <v>0</v>
      </c>
      <c r="AH45" s="137">
        <v>0</v>
      </c>
      <c r="AI45" s="103">
        <f t="shared" si="9"/>
        <v>0</v>
      </c>
      <c r="AJ45" s="103">
        <f t="shared" si="10"/>
        <v>0</v>
      </c>
      <c r="AK45" s="103"/>
      <c r="AL45" s="103">
        <f t="shared" si="11"/>
        <v>0</v>
      </c>
      <c r="AM45" s="103">
        <f t="shared" si="12"/>
        <v>0</v>
      </c>
      <c r="AN45" s="7">
        <v>0</v>
      </c>
      <c r="AO45" s="138">
        <f t="shared" si="13"/>
        <v>0</v>
      </c>
      <c r="AP45" s="138">
        <f t="shared" si="14"/>
        <v>0</v>
      </c>
      <c r="AQ45" s="103">
        <f t="shared" si="15"/>
        <v>0</v>
      </c>
      <c r="AR45" s="103">
        <f t="shared" si="15"/>
        <v>0</v>
      </c>
      <c r="AS45" s="104">
        <f t="shared" si="16"/>
        <v>0</v>
      </c>
      <c r="AT45" s="104">
        <f t="shared" si="24"/>
        <v>0</v>
      </c>
      <c r="AU45" s="103">
        <f t="shared" si="17"/>
        <v>5.3641666666666667</v>
      </c>
      <c r="AV45" s="104">
        <f t="shared" si="18"/>
        <v>5.3641666666666667</v>
      </c>
      <c r="AW45" s="105">
        <f t="shared" si="19"/>
        <v>0.20999018163966626</v>
      </c>
      <c r="AY45" s="150">
        <f t="shared" si="29"/>
        <v>6.7900000000000009</v>
      </c>
      <c r="AZ45" s="151">
        <f t="shared" si="27"/>
        <v>0</v>
      </c>
      <c r="BA45" s="160">
        <f t="shared" si="25"/>
        <v>6.7900000000000009</v>
      </c>
      <c r="BB45" s="164"/>
      <c r="BD45" s="86" t="s">
        <v>106</v>
      </c>
      <c r="BE45" s="86" t="s">
        <v>263</v>
      </c>
      <c r="BF45" s="87" t="s">
        <v>264</v>
      </c>
      <c r="BG45" s="87">
        <v>387000650117</v>
      </c>
      <c r="BH45" s="86" t="s">
        <v>265</v>
      </c>
      <c r="BI45" s="86">
        <v>2222</v>
      </c>
      <c r="BJ45" s="86" t="s">
        <v>266</v>
      </c>
      <c r="BK45" s="86">
        <v>13312250</v>
      </c>
      <c r="BL45" s="86" t="s">
        <v>267</v>
      </c>
      <c r="BM45" s="86" t="s">
        <v>108</v>
      </c>
    </row>
    <row r="46" spans="1:65 16369:16369" s="106" customFormat="1" ht="14.25" customHeight="1" thickBot="1" x14ac:dyDescent="0.25">
      <c r="A46" s="109">
        <v>4.2599999999999999E-2</v>
      </c>
      <c r="B46" s="27">
        <f>VLOOKUP(F46,Planilha3!D:F,3,0)</f>
        <v>2.5961263095001876</v>
      </c>
      <c r="C46" s="90">
        <f t="shared" si="20"/>
        <v>60.941932147891727</v>
      </c>
      <c r="D46" s="90" t="s">
        <v>76</v>
      </c>
      <c r="E46" s="90" t="s">
        <v>77</v>
      </c>
      <c r="F46" s="107">
        <v>903901</v>
      </c>
      <c r="G46" s="107">
        <v>1170142</v>
      </c>
      <c r="H46" s="92" t="s">
        <v>2</v>
      </c>
      <c r="I46" s="93">
        <v>12</v>
      </c>
      <c r="J46" s="93">
        <v>126</v>
      </c>
      <c r="K46" s="94">
        <f t="shared" si="34"/>
        <v>3024</v>
      </c>
      <c r="L46" s="195">
        <v>126</v>
      </c>
      <c r="M46" s="180">
        <f t="shared" si="1"/>
        <v>1</v>
      </c>
      <c r="N46" s="95">
        <f t="shared" si="33"/>
        <v>4.1666666666666664E-2</v>
      </c>
      <c r="O46" s="148">
        <v>104.19</v>
      </c>
      <c r="P46" s="135">
        <f t="shared" si="21"/>
        <v>8.6824999999999992</v>
      </c>
      <c r="Q46" s="96">
        <f t="shared" si="3"/>
        <v>0</v>
      </c>
      <c r="R46" s="96">
        <v>0</v>
      </c>
      <c r="S46" s="97">
        <f t="shared" si="4"/>
        <v>0</v>
      </c>
      <c r="T46" s="97">
        <v>0</v>
      </c>
      <c r="U46" s="121">
        <f t="shared" si="22"/>
        <v>0</v>
      </c>
      <c r="V46" s="121">
        <v>0</v>
      </c>
      <c r="W46" s="36">
        <f>VLOOKUP(F46,'[1]Proposta HNK para Tenda'!$F:$T,15,0)</f>
        <v>10.99</v>
      </c>
      <c r="X46" s="36">
        <f>VLOOKUP(F46,'[1]Proposta HNK para Tenda'!$F:$U,16,0)</f>
        <v>10.99</v>
      </c>
      <c r="Y46" s="36"/>
      <c r="Z46" s="98">
        <f t="shared" si="5"/>
        <v>0</v>
      </c>
      <c r="AA46" s="99">
        <f t="shared" si="6"/>
        <v>13127.94</v>
      </c>
      <c r="AB46" s="100">
        <f>L46*12*0.355/100</f>
        <v>5.3675999999999995</v>
      </c>
      <c r="AC46" s="101"/>
      <c r="AD46" s="44">
        <f t="shared" si="7"/>
        <v>0</v>
      </c>
      <c r="AE46" s="102">
        <f t="shared" si="8"/>
        <v>0</v>
      </c>
      <c r="AF46" s="102">
        <f t="shared" si="23"/>
        <v>0</v>
      </c>
      <c r="AH46" s="137">
        <v>0</v>
      </c>
      <c r="AI46" s="103">
        <f t="shared" si="9"/>
        <v>0</v>
      </c>
      <c r="AJ46" s="103">
        <f t="shared" si="10"/>
        <v>0</v>
      </c>
      <c r="AK46" s="103"/>
      <c r="AL46" s="103">
        <f t="shared" si="11"/>
        <v>0</v>
      </c>
      <c r="AM46" s="103">
        <f t="shared" si="12"/>
        <v>0</v>
      </c>
      <c r="AN46" s="7">
        <v>0</v>
      </c>
      <c r="AO46" s="138">
        <f t="shared" si="13"/>
        <v>0</v>
      </c>
      <c r="AP46" s="138">
        <f t="shared" si="14"/>
        <v>0</v>
      </c>
      <c r="AQ46" s="103">
        <f t="shared" si="15"/>
        <v>0</v>
      </c>
      <c r="AR46" s="103">
        <f t="shared" si="15"/>
        <v>0</v>
      </c>
      <c r="AS46" s="104">
        <f t="shared" si="16"/>
        <v>0</v>
      </c>
      <c r="AT46" s="104">
        <f t="shared" si="24"/>
        <v>0</v>
      </c>
      <c r="AU46" s="103">
        <f t="shared" si="17"/>
        <v>8.6824999999999992</v>
      </c>
      <c r="AV46" s="104">
        <f t="shared" si="18"/>
        <v>8.6824999999999992</v>
      </c>
      <c r="AW46" s="105">
        <f t="shared" si="19"/>
        <v>0.20996360327570526</v>
      </c>
      <c r="AY46" s="150">
        <f t="shared" si="29"/>
        <v>10.99</v>
      </c>
      <c r="AZ46" s="151">
        <f t="shared" si="27"/>
        <v>0</v>
      </c>
      <c r="BA46" s="160">
        <f t="shared" si="25"/>
        <v>10.99</v>
      </c>
      <c r="BB46" s="164"/>
      <c r="BD46" s="86" t="s">
        <v>106</v>
      </c>
      <c r="BE46" s="86" t="s">
        <v>263</v>
      </c>
      <c r="BF46" s="87" t="s">
        <v>264</v>
      </c>
      <c r="BG46" s="87">
        <v>387000650117</v>
      </c>
      <c r="BH46" s="86" t="s">
        <v>265</v>
      </c>
      <c r="BI46" s="86">
        <v>2222</v>
      </c>
      <c r="BJ46" s="86" t="s">
        <v>266</v>
      </c>
      <c r="BK46" s="86">
        <v>13312250</v>
      </c>
      <c r="BL46" s="86" t="s">
        <v>267</v>
      </c>
      <c r="BM46" s="86" t="s">
        <v>108</v>
      </c>
    </row>
    <row r="47" spans="1:65 16369:16369" s="106" customFormat="1" ht="14.25" customHeight="1" thickBot="1" x14ac:dyDescent="0.25">
      <c r="A47" s="109">
        <v>4.2000000000000003E-2</v>
      </c>
      <c r="B47" s="27">
        <f>VLOOKUP(F47,Planilha3!D:F,3,0)</f>
        <v>5.5383412037525046</v>
      </c>
      <c r="C47" s="90">
        <f t="shared" si="20"/>
        <v>131.86526675601201</v>
      </c>
      <c r="D47" s="90" t="s">
        <v>76</v>
      </c>
      <c r="E47" s="90" t="s">
        <v>77</v>
      </c>
      <c r="F47" s="107">
        <v>904782</v>
      </c>
      <c r="G47" s="107">
        <v>1169716</v>
      </c>
      <c r="H47" s="92" t="s">
        <v>1</v>
      </c>
      <c r="I47" s="93">
        <v>12</v>
      </c>
      <c r="J47" s="93">
        <v>280</v>
      </c>
      <c r="K47" s="94">
        <f t="shared" si="34"/>
        <v>6720</v>
      </c>
      <c r="L47" s="195">
        <v>560</v>
      </c>
      <c r="M47" s="180">
        <f t="shared" si="1"/>
        <v>2</v>
      </c>
      <c r="N47" s="95">
        <f t="shared" si="33"/>
        <v>8.3333333333333329E-2</v>
      </c>
      <c r="O47" s="148">
        <v>85.23</v>
      </c>
      <c r="P47" s="135">
        <f t="shared" si="21"/>
        <v>7.1025</v>
      </c>
      <c r="Q47" s="108">
        <f t="shared" si="3"/>
        <v>10.8</v>
      </c>
      <c r="R47" s="108">
        <v>0.9</v>
      </c>
      <c r="S47" s="122">
        <f t="shared" si="4"/>
        <v>0.24</v>
      </c>
      <c r="T47" s="122">
        <v>0.02</v>
      </c>
      <c r="U47" s="121">
        <f t="shared" si="22"/>
        <v>0.92</v>
      </c>
      <c r="V47" s="121">
        <v>0.92</v>
      </c>
      <c r="W47" s="36">
        <f>VLOOKUP(F47,'[1]Proposta HNK para Tenda'!$F:$T,15,0)</f>
        <v>8.99</v>
      </c>
      <c r="X47" s="36">
        <f>VLOOKUP(F47,'[1]Proposta HNK para Tenda'!$F:$U,16,0)</f>
        <v>6.99</v>
      </c>
      <c r="Y47" s="36"/>
      <c r="Z47" s="98">
        <f t="shared" si="5"/>
        <v>6182.4000000000005</v>
      </c>
      <c r="AA47" s="99">
        <f t="shared" si="6"/>
        <v>47728.800000000003</v>
      </c>
      <c r="AB47" s="100">
        <f t="shared" ref="AB47" si="35">L47*12*0.35/100</f>
        <v>23.52</v>
      </c>
      <c r="AC47" s="101"/>
      <c r="AD47" s="44">
        <f t="shared" si="7"/>
        <v>0.93051000000000006</v>
      </c>
      <c r="AE47" s="102">
        <f t="shared" si="8"/>
        <v>0.92</v>
      </c>
      <c r="AF47" s="102">
        <f t="shared" si="23"/>
        <v>1.0510000000000019E-2</v>
      </c>
      <c r="AH47" s="175">
        <v>265.86</v>
      </c>
      <c r="AI47" s="176">
        <f t="shared" si="9"/>
        <v>6253.0272000000004</v>
      </c>
      <c r="AJ47" s="176">
        <f t="shared" si="10"/>
        <v>0.93051000000000006</v>
      </c>
      <c r="AK47" s="103"/>
      <c r="AL47" s="103">
        <f t="shared" si="11"/>
        <v>0</v>
      </c>
      <c r="AM47" s="103">
        <f t="shared" si="12"/>
        <v>0</v>
      </c>
      <c r="AN47" s="7">
        <v>0</v>
      </c>
      <c r="AO47" s="138">
        <f t="shared" si="13"/>
        <v>0</v>
      </c>
      <c r="AP47" s="138">
        <f t="shared" si="14"/>
        <v>0</v>
      </c>
      <c r="AQ47" s="103">
        <f t="shared" si="15"/>
        <v>6253.0272000000004</v>
      </c>
      <c r="AR47" s="103">
        <f t="shared" si="15"/>
        <v>0.93051000000000006</v>
      </c>
      <c r="AS47" s="104">
        <f t="shared" si="16"/>
        <v>6182.4000000000005</v>
      </c>
      <c r="AT47" s="104">
        <f t="shared" si="24"/>
        <v>70.627199999999903</v>
      </c>
      <c r="AU47" s="103">
        <f t="shared" si="17"/>
        <v>7.1025</v>
      </c>
      <c r="AV47" s="104">
        <f t="shared" si="18"/>
        <v>6.1825000000000001</v>
      </c>
      <c r="AW47" s="105">
        <f t="shared" si="19"/>
        <v>0.11552217453505008</v>
      </c>
      <c r="AY47" s="150">
        <f t="shared" si="29"/>
        <v>6.99</v>
      </c>
      <c r="AZ47" s="151">
        <f t="shared" si="27"/>
        <v>0</v>
      </c>
      <c r="BA47" s="160">
        <f t="shared" si="25"/>
        <v>6.99</v>
      </c>
      <c r="BB47" s="164"/>
      <c r="BD47" s="86" t="s">
        <v>106</v>
      </c>
      <c r="BE47" s="86" t="s">
        <v>263</v>
      </c>
      <c r="BF47" s="87" t="s">
        <v>264</v>
      </c>
      <c r="BG47" s="87">
        <v>387000650117</v>
      </c>
      <c r="BH47" s="86" t="s">
        <v>265</v>
      </c>
      <c r="BI47" s="86">
        <v>2222</v>
      </c>
      <c r="BJ47" s="86" t="s">
        <v>266</v>
      </c>
      <c r="BK47" s="86">
        <v>13312250</v>
      </c>
      <c r="BL47" s="86" t="s">
        <v>267</v>
      </c>
      <c r="BM47" s="86" t="s">
        <v>108</v>
      </c>
    </row>
    <row r="48" spans="1:65 16369:16369" ht="14.25" customHeight="1" x14ac:dyDescent="0.2">
      <c r="B48" s="27"/>
      <c r="N48" s="6">
        <f>SUM(N5:N47)</f>
        <v>336.08333333333326</v>
      </c>
      <c r="T48" s="2"/>
      <c r="U48" s="2"/>
      <c r="V48" s="2"/>
      <c r="W48" s="2"/>
      <c r="X48" s="2"/>
      <c r="Y48" s="2" t="s">
        <v>287</v>
      </c>
      <c r="Z48" s="5">
        <f>SUBTOTAL(9,Z5:Z47)</f>
        <v>9523544.6399999987</v>
      </c>
      <c r="AA48" s="5">
        <f>SUBTOTAL(9,AA5:AA47)</f>
        <v>114198358.63999997</v>
      </c>
      <c r="AB48" s="4">
        <f>SUBTOTAL(9,AB5:AB47)</f>
        <v>89748.895360000039</v>
      </c>
      <c r="AC48" s="54"/>
      <c r="AD48" s="58"/>
      <c r="AE48" s="58"/>
      <c r="AF48" s="58"/>
      <c r="AH48" s="54"/>
      <c r="AI48" s="59">
        <f>SUBTOTAL(9,AI5:AI47)</f>
        <v>2977758.6359679988</v>
      </c>
      <c r="AJ48" s="54"/>
      <c r="AK48" s="54"/>
      <c r="AL48" s="59">
        <f>SUBTOTAL(9,AL5:AL47)</f>
        <v>811717.24838400015</v>
      </c>
      <c r="AM48" s="54"/>
      <c r="AN48" s="54"/>
      <c r="AO48" s="59">
        <f>SUBTOTAL(9,AO5:AO47)</f>
        <v>5646392.3424000004</v>
      </c>
      <c r="AP48" s="54"/>
      <c r="AQ48" s="59">
        <f>SUBTOTAL(9,AQ5:AQ47)</f>
        <v>9435868.2267520037</v>
      </c>
      <c r="AR48" s="54"/>
      <c r="AS48" s="60">
        <f>SUM(AS5:AS47)</f>
        <v>9523544.6399999987</v>
      </c>
      <c r="AT48" s="60">
        <f>AQ48-AS48</f>
        <v>-87676.413247995079</v>
      </c>
      <c r="AU48" s="54"/>
      <c r="AV48" s="54"/>
      <c r="AW48" s="54"/>
      <c r="AY48" s="58"/>
      <c r="AZ48" s="58"/>
      <c r="BA48" s="58"/>
      <c r="BB48" s="58"/>
      <c r="XEO48" s="3">
        <f>SUM(XEO5:XFD47)</f>
        <v>0</v>
      </c>
    </row>
    <row r="49" spans="2:54" ht="14.25" customHeight="1" x14ac:dyDescent="0.2">
      <c r="B49" s="27"/>
      <c r="K49" s="18"/>
      <c r="T49" s="12"/>
      <c r="U49" s="12"/>
      <c r="V49" s="12"/>
      <c r="W49" s="2"/>
      <c r="X49" s="2"/>
      <c r="Y49" s="2" t="s">
        <v>288</v>
      </c>
      <c r="Z49" s="2">
        <v>343985.44</v>
      </c>
      <c r="AA49" s="1">
        <v>450000</v>
      </c>
      <c r="AB49" s="6"/>
      <c r="AD49" s="6"/>
      <c r="AE49" s="6"/>
      <c r="AF49" s="6"/>
      <c r="AQ49" s="3"/>
      <c r="AY49" s="6"/>
      <c r="AZ49" s="6"/>
      <c r="BA49" s="6"/>
      <c r="BB49" s="6"/>
    </row>
    <row r="50" spans="2:54" ht="14.25" customHeight="1" x14ac:dyDescent="0.2">
      <c r="W50" s="2"/>
      <c r="X50" s="2"/>
      <c r="Y50" s="2"/>
      <c r="Z50" s="2">
        <f>SUM(Z48:Z49)</f>
        <v>9867530.0799999982</v>
      </c>
      <c r="AA50" s="2">
        <f>AA49-Z49</f>
        <v>106014.56</v>
      </c>
      <c r="AE50" s="6"/>
      <c r="AH50" s="65" t="s">
        <v>61</v>
      </c>
      <c r="AI50" s="66">
        <f>AQ48</f>
        <v>9435868.2267520037</v>
      </c>
      <c r="AJ50" s="3"/>
      <c r="AM50" s="3"/>
      <c r="AP50" s="3"/>
      <c r="AQ50" s="3"/>
      <c r="AR50" s="3"/>
    </row>
    <row r="51" spans="2:54" ht="14.25" customHeight="1" x14ac:dyDescent="0.2">
      <c r="T51" s="12"/>
      <c r="U51" s="12"/>
      <c r="V51" s="12"/>
      <c r="W51" s="12"/>
      <c r="Z51" s="197">
        <f>Z50/AA48</f>
        <v>8.6406934368527102E-2</v>
      </c>
      <c r="AA51" s="23"/>
      <c r="AB51" s="6"/>
      <c r="AE51" s="6"/>
      <c r="AF51" s="6"/>
      <c r="AH51" s="67" t="s">
        <v>88</v>
      </c>
      <c r="AI51" s="68">
        <f>Z48</f>
        <v>9523544.6399999987</v>
      </c>
      <c r="AJ51" s="31"/>
      <c r="AQ51" s="3"/>
      <c r="AR51" s="3"/>
      <c r="AY51" s="6"/>
      <c r="AZ51" s="6"/>
      <c r="BA51" s="6"/>
      <c r="BB51" s="6"/>
    </row>
    <row r="52" spans="2:54" ht="14.25" customHeight="1" x14ac:dyDescent="0.2">
      <c r="AA52" s="6"/>
      <c r="AB52" s="6"/>
      <c r="AH52" s="69" t="s">
        <v>71</v>
      </c>
      <c r="AI52" s="70">
        <f>AI50-AI51</f>
        <v>-87676.413247995079</v>
      </c>
      <c r="AJ52" s="3">
        <v>366046.2</v>
      </c>
      <c r="AP52" s="3"/>
      <c r="AQ52" s="3"/>
      <c r="AY52" s="6"/>
      <c r="AZ52" s="6"/>
      <c r="BA52" s="6"/>
      <c r="BB52" s="6"/>
    </row>
    <row r="53" spans="2:54" ht="14.25" customHeight="1" thickBot="1" x14ac:dyDescent="0.25">
      <c r="T53" s="3"/>
      <c r="U53" s="3"/>
      <c r="V53" s="3"/>
      <c r="W53" s="3"/>
      <c r="AA53" s="6"/>
      <c r="AB53" s="6"/>
      <c r="AF53" s="2"/>
      <c r="AH53" s="2"/>
      <c r="AI53" s="2" t="s">
        <v>91</v>
      </c>
      <c r="AJ53" s="3"/>
      <c r="AY53" s="2"/>
      <c r="AZ53" s="2"/>
      <c r="BA53" s="2"/>
      <c r="BB53" s="2"/>
    </row>
    <row r="54" spans="2:54" ht="14.25" customHeight="1" x14ac:dyDescent="0.2">
      <c r="X54" s="203" t="s">
        <v>90</v>
      </c>
      <c r="Y54" s="204"/>
      <c r="Z54" s="205"/>
      <c r="AA54" s="6"/>
      <c r="AB54" s="6"/>
      <c r="AF54" s="23">
        <f>AI50/AA48</f>
        <v>8.2627003917785963E-2</v>
      </c>
      <c r="AH54" s="65" t="s">
        <v>86</v>
      </c>
      <c r="AI54" s="72">
        <f>AI50/AA48</f>
        <v>8.2627003917785963E-2</v>
      </c>
      <c r="AJ54" s="3"/>
    </row>
    <row r="55" spans="2:54" ht="14.25" customHeight="1" x14ac:dyDescent="0.2">
      <c r="T55" s="23"/>
      <c r="U55" s="23"/>
      <c r="V55" s="23"/>
      <c r="W55" s="23"/>
      <c r="X55" s="30" t="s">
        <v>76</v>
      </c>
      <c r="Y55" s="30"/>
      <c r="Z55" s="81">
        <f>SUM(Z29:Z47)</f>
        <v>121900.79999999999</v>
      </c>
      <c r="AA55" s="6"/>
      <c r="AB55" s="6"/>
      <c r="AH55" s="71" t="s">
        <v>87</v>
      </c>
      <c r="AI55" s="73">
        <f>Z48/AA48</f>
        <v>8.3394759376727245E-2</v>
      </c>
    </row>
    <row r="56" spans="2:54" ht="14.25" customHeight="1" x14ac:dyDescent="0.2">
      <c r="X56" s="30" t="s">
        <v>89</v>
      </c>
      <c r="Y56" s="30"/>
      <c r="Z56" s="81">
        <f>SUM(Z10:Z25)</f>
        <v>5031184.3199999994</v>
      </c>
      <c r="AA56" s="31"/>
    </row>
    <row r="57" spans="2:54" ht="14.25" customHeight="1" x14ac:dyDescent="0.2">
      <c r="X57" s="30" t="s">
        <v>82</v>
      </c>
      <c r="Y57" s="30"/>
      <c r="Z57" s="81">
        <f>SUM(Z5:Z6,Z7)</f>
        <v>4302144</v>
      </c>
    </row>
    <row r="59" spans="2:54" ht="14.25" customHeight="1" x14ac:dyDescent="0.2">
      <c r="AH59" s="23"/>
    </row>
    <row r="61" spans="2:54" ht="14.25" customHeight="1" x14ac:dyDescent="0.2">
      <c r="Z61" s="88"/>
    </row>
  </sheetData>
  <mergeCells count="6">
    <mergeCell ref="AW3:AW4"/>
    <mergeCell ref="X54:Z54"/>
    <mergeCell ref="W3:Y3"/>
    <mergeCell ref="AD3:AD4"/>
    <mergeCell ref="AE3:AE4"/>
    <mergeCell ref="AF3:AF4"/>
  </mergeCells>
  <pageMargins left="0.511811024" right="0.511811024" top="0.78740157499999996" bottom="0.78740157499999996" header="0.31496062000000002" footer="0.31496062000000002"/>
  <pageSetup orientation="portrait" r:id="rId1"/>
  <headerFooter>
    <oddFooter>&amp;R_x000D_&amp;1#&amp;"Calibri"&amp;11&amp;K000000 Este conteúdo foi classificado como Interno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F3B1-ED7D-4ADB-8B67-373CF0EF3A68}">
  <sheetPr>
    <tabColor rgb="FF92D050"/>
  </sheetPr>
  <dimension ref="A1:XEO61"/>
  <sheetViews>
    <sheetView showGridLines="0" zoomScale="91" zoomScaleNormal="91" workbookViewId="0">
      <pane xSplit="11" ySplit="4" topLeftCell="W41" activePane="bottomRight" state="frozen"/>
      <selection activeCell="I19" sqref="I19"/>
      <selection pane="topRight" activeCell="I19" sqref="I19"/>
      <selection pane="bottomLeft" activeCell="I19" sqref="I19"/>
      <selection pane="bottomRight" activeCell="Z49" sqref="Z49"/>
    </sheetView>
  </sheetViews>
  <sheetFormatPr defaultRowHeight="14.25" customHeight="1" outlineLevelCol="1" x14ac:dyDescent="0.2"/>
  <cols>
    <col min="1" max="1" width="9.5703125" style="1" hidden="1" customWidth="1" outlineLevel="1"/>
    <col min="2" max="2" width="11.85546875" style="1" hidden="1" customWidth="1" outlineLevel="1"/>
    <col min="3" max="3" width="8.140625" style="30" hidden="1" customWidth="1" outlineLevel="1"/>
    <col min="4" max="4" width="10.42578125" style="30" hidden="1" customWidth="1" outlineLevel="1"/>
    <col min="5" max="5" width="9.42578125" style="30" hidden="1" customWidth="1" outlineLevel="1"/>
    <col min="6" max="6" width="9.7109375" style="30" customWidth="1" collapsed="1"/>
    <col min="7" max="7" width="8.28515625" style="1" bestFit="1" customWidth="1"/>
    <col min="8" max="8" width="34.5703125" style="1" customWidth="1"/>
    <col min="9" max="9" width="3.5703125" style="1" bestFit="1" customWidth="1"/>
    <col min="10" max="10" width="6.28515625" style="1" bestFit="1" customWidth="1"/>
    <col min="11" max="11" width="7.140625" style="1" bestFit="1" customWidth="1"/>
    <col min="12" max="12" width="8.7109375" style="1" customWidth="1"/>
    <col min="13" max="13" width="7.7109375" style="1" customWidth="1"/>
    <col min="14" max="14" width="7.42578125" style="1" customWidth="1"/>
    <col min="15" max="15" width="7.140625" style="1" customWidth="1"/>
    <col min="16" max="16" width="7.85546875" style="1" customWidth="1"/>
    <col min="17" max="17" width="11" style="1" hidden="1" customWidth="1" outlineLevel="1"/>
    <col min="18" max="18" width="10" style="1" customWidth="1" collapsed="1"/>
    <col min="19" max="19" width="9.7109375" style="1" hidden="1" customWidth="1" outlineLevel="1"/>
    <col min="20" max="20" width="9.5703125" style="1" customWidth="1" collapsed="1"/>
    <col min="21" max="22" width="11.28515625" style="1" customWidth="1"/>
    <col min="23" max="23" width="9.5703125" style="1" customWidth="1"/>
    <col min="24" max="24" width="15.140625" style="1" customWidth="1"/>
    <col min="25" max="25" width="10.28515625" style="1" customWidth="1"/>
    <col min="26" max="26" width="14.42578125" style="1" customWidth="1"/>
    <col min="27" max="27" width="16.140625" style="1" bestFit="1" customWidth="1"/>
    <col min="28" max="28" width="9.5703125" style="1" bestFit="1" customWidth="1"/>
    <col min="29" max="29" width="2.42578125" style="1" customWidth="1" outlineLevel="1"/>
    <col min="30" max="30" width="16.7109375" style="1" customWidth="1" outlineLevel="1"/>
    <col min="31" max="31" width="13" style="1" customWidth="1" outlineLevel="1"/>
    <col min="32" max="32" width="8.140625" style="1" customWidth="1" outlineLevel="1"/>
    <col min="33" max="33" width="2" style="1" customWidth="1"/>
    <col min="34" max="34" width="12" style="1" customWidth="1" outlineLevel="1"/>
    <col min="35" max="35" width="14.7109375" style="1" customWidth="1" outlineLevel="1"/>
    <col min="36" max="36" width="12.7109375" style="1" customWidth="1" outlineLevel="1"/>
    <col min="37" max="37" width="8.42578125" style="1" customWidth="1" outlineLevel="1"/>
    <col min="38" max="38" width="12.7109375" style="1" customWidth="1" outlineLevel="1"/>
    <col min="39" max="39" width="11.7109375" style="1" customWidth="1" outlineLevel="1"/>
    <col min="40" max="40" width="9.42578125" style="1" customWidth="1" outlineLevel="1"/>
    <col min="41" max="41" width="14.140625" style="1" customWidth="1" outlineLevel="1"/>
    <col min="42" max="42" width="11.7109375" style="1" customWidth="1" outlineLevel="1"/>
    <col min="43" max="43" width="14.140625" style="1" customWidth="1" outlineLevel="1"/>
    <col min="44" max="44" width="11.28515625" style="1" customWidth="1" outlineLevel="1"/>
    <col min="45" max="45" width="17" style="1" customWidth="1" outlineLevel="1"/>
    <col min="46" max="46" width="13.140625" style="1" customWidth="1" outlineLevel="1"/>
    <col min="47" max="47" width="11.85546875" style="1" customWidth="1" outlineLevel="1"/>
    <col min="48" max="48" width="10.7109375" style="1" customWidth="1" outlineLevel="1"/>
    <col min="49" max="49" width="16" style="1" customWidth="1" outlineLevel="1"/>
    <col min="50" max="50" width="2.42578125" style="1" customWidth="1"/>
    <col min="51" max="51" width="13.28515625" style="1" customWidth="1" outlineLevel="1"/>
    <col min="52" max="52" width="13" style="1" customWidth="1" outlineLevel="1"/>
    <col min="53" max="53" width="9.42578125" style="1" customWidth="1" outlineLevel="1"/>
    <col min="54" max="54" width="8" style="1" customWidth="1" outlineLevel="1"/>
    <col min="55" max="55" width="4" style="1" customWidth="1"/>
    <col min="56" max="56" width="11.28515625" style="1" bestFit="1" customWidth="1"/>
    <col min="57" max="57" width="29.85546875" style="1" bestFit="1" customWidth="1"/>
    <col min="58" max="58" width="16.42578125" style="1" bestFit="1" customWidth="1"/>
    <col min="59" max="59" width="14" style="1" bestFit="1" customWidth="1"/>
    <col min="60" max="60" width="41.42578125" style="1" bestFit="1" customWidth="1"/>
    <col min="61" max="61" width="7" style="1" bestFit="1" customWidth="1"/>
    <col min="62" max="62" width="26" style="1" bestFit="1" customWidth="1"/>
    <col min="63" max="63" width="8.5703125" style="1" bestFit="1" customWidth="1"/>
    <col min="64" max="64" width="11.28515625" style="1" bestFit="1" customWidth="1"/>
    <col min="65" max="65" width="3.85546875" style="1" bestFit="1" customWidth="1"/>
    <col min="66" max="16368" width="9.140625" style="1"/>
    <col min="16369" max="16369" width="6.7109375" style="1" bestFit="1" customWidth="1"/>
    <col min="16370" max="16384" width="6.7109375" style="1" customWidth="1"/>
  </cols>
  <sheetData>
    <row r="1" spans="1:65" ht="14.25" customHeight="1" x14ac:dyDescent="0.2">
      <c r="T1" s="2">
        <v>0.2</v>
      </c>
      <c r="U1" s="2">
        <v>0.75</v>
      </c>
      <c r="X1" s="2">
        <v>1468816.0000000002</v>
      </c>
      <c r="Z1" s="3">
        <f>Z18+AA50</f>
        <v>1566174.5600000003</v>
      </c>
    </row>
    <row r="2" spans="1:65" ht="12" x14ac:dyDescent="0.2">
      <c r="J2" s="124"/>
      <c r="Q2" s="26"/>
      <c r="R2" s="25"/>
      <c r="S2" s="33"/>
      <c r="T2" s="33">
        <v>0.08</v>
      </c>
      <c r="U2" s="33">
        <v>0.3</v>
      </c>
      <c r="V2" s="33"/>
      <c r="W2" s="27"/>
      <c r="X2" s="27"/>
      <c r="Y2" s="27"/>
      <c r="Z2" s="28"/>
      <c r="AA2" s="28"/>
      <c r="AB2" s="38"/>
      <c r="AC2" s="43"/>
      <c r="AD2" s="42"/>
      <c r="AE2" s="42"/>
      <c r="AF2" s="42"/>
      <c r="AH2" s="54"/>
      <c r="AI2" s="61">
        <f>SUBTOTAL(9,AI5:AI47)</f>
        <v>2977758.6359679988</v>
      </c>
      <c r="AJ2" s="54"/>
      <c r="AK2" s="54"/>
      <c r="AL2" s="61">
        <f>SUBTOTAL(9,AL5:AL47)</f>
        <v>811717.24838400015</v>
      </c>
      <c r="AM2" s="54"/>
      <c r="AN2" s="54"/>
      <c r="AO2" s="61">
        <f>SUBTOTAL(9,AO5:AO47)</f>
        <v>5646392.3424000004</v>
      </c>
      <c r="AP2" s="54"/>
      <c r="AQ2" s="55"/>
      <c r="AR2" s="54"/>
      <c r="AS2" s="43"/>
      <c r="AT2" s="43"/>
      <c r="AU2" s="43"/>
      <c r="AV2" s="43"/>
      <c r="AW2" s="43"/>
      <c r="AY2" s="42"/>
      <c r="AZ2" s="42"/>
      <c r="BA2" s="42"/>
      <c r="BB2" s="42"/>
    </row>
    <row r="3" spans="1:65" ht="19.5" customHeight="1" x14ac:dyDescent="0.2">
      <c r="B3" s="34" t="e">
        <f>SUBTOTAL(9,B5:B47)</f>
        <v>#N/A</v>
      </c>
      <c r="H3" s="2"/>
      <c r="L3" s="18"/>
      <c r="N3" s="18"/>
      <c r="O3" s="134"/>
      <c r="P3" s="134"/>
      <c r="Q3" s="134"/>
      <c r="R3" s="31"/>
      <c r="T3" s="6"/>
      <c r="U3" s="6"/>
      <c r="V3" s="6"/>
      <c r="W3" s="212" t="s">
        <v>285</v>
      </c>
      <c r="X3" s="213"/>
      <c r="Y3" s="213"/>
      <c r="Z3" s="2">
        <f>SUBTOTAL(9,Z5:Z47)</f>
        <v>9523544.6399999987</v>
      </c>
      <c r="AB3" s="19">
        <f>SUBTOTAL(9,AB5:AB47)</f>
        <v>89328.295360000047</v>
      </c>
      <c r="AC3" s="43"/>
      <c r="AD3" s="206" t="s">
        <v>59</v>
      </c>
      <c r="AE3" s="208" t="s">
        <v>58</v>
      </c>
      <c r="AF3" s="210" t="s">
        <v>279</v>
      </c>
      <c r="AH3" s="113"/>
      <c r="AI3" s="113" t="s">
        <v>51</v>
      </c>
      <c r="AJ3" s="113"/>
      <c r="AK3" s="114"/>
      <c r="AL3" s="114" t="s">
        <v>57</v>
      </c>
      <c r="AM3" s="114"/>
      <c r="AN3" s="115"/>
      <c r="AO3" s="115" t="s">
        <v>50</v>
      </c>
      <c r="AP3" s="115"/>
      <c r="AQ3" s="116">
        <f>SUBTOTAL(9,AQ5:AQ47)</f>
        <v>9435868.2267520037</v>
      </c>
      <c r="AR3" s="117"/>
      <c r="AS3" s="118"/>
      <c r="AT3" s="119"/>
      <c r="AU3" s="120"/>
      <c r="AV3" s="120"/>
      <c r="AW3" s="201" t="s">
        <v>70</v>
      </c>
      <c r="AY3" s="166"/>
      <c r="AZ3" s="166"/>
      <c r="BA3" s="166"/>
      <c r="BB3" s="166"/>
    </row>
    <row r="4" spans="1:65" ht="40.5" customHeight="1" thickBot="1" x14ac:dyDescent="0.25">
      <c r="A4" s="48" t="s">
        <v>62</v>
      </c>
      <c r="B4" s="49" t="s">
        <v>85</v>
      </c>
      <c r="C4" s="48" t="s">
        <v>63</v>
      </c>
      <c r="D4" s="48" t="s">
        <v>72</v>
      </c>
      <c r="E4" s="48" t="s">
        <v>73</v>
      </c>
      <c r="F4" s="15" t="s">
        <v>84</v>
      </c>
      <c r="G4" s="17" t="s">
        <v>47</v>
      </c>
      <c r="H4" s="17" t="s">
        <v>46</v>
      </c>
      <c r="I4" s="15" t="s">
        <v>45</v>
      </c>
      <c r="J4" s="15" t="s">
        <v>44</v>
      </c>
      <c r="K4" s="15" t="s">
        <v>43</v>
      </c>
      <c r="L4" s="15" t="s">
        <v>42</v>
      </c>
      <c r="M4" s="16" t="s">
        <v>41</v>
      </c>
      <c r="N4" s="16" t="s">
        <v>40</v>
      </c>
      <c r="O4" s="15" t="s">
        <v>67</v>
      </c>
      <c r="P4" s="15" t="s">
        <v>245</v>
      </c>
      <c r="Q4" s="15" t="s">
        <v>39</v>
      </c>
      <c r="R4" s="15" t="s">
        <v>38</v>
      </c>
      <c r="S4" s="15" t="s">
        <v>37</v>
      </c>
      <c r="T4" s="15" t="s">
        <v>36</v>
      </c>
      <c r="U4" s="15" t="s">
        <v>123</v>
      </c>
      <c r="V4" s="182" t="s">
        <v>286</v>
      </c>
      <c r="W4" s="35" t="s">
        <v>66</v>
      </c>
      <c r="X4" s="37" t="s">
        <v>65</v>
      </c>
      <c r="Y4" s="37" t="s">
        <v>280</v>
      </c>
      <c r="Z4" s="14" t="s">
        <v>35</v>
      </c>
      <c r="AA4" s="24" t="s">
        <v>34</v>
      </c>
      <c r="AB4" s="24" t="s">
        <v>52</v>
      </c>
      <c r="AC4" s="53"/>
      <c r="AD4" s="207"/>
      <c r="AE4" s="209"/>
      <c r="AF4" s="211"/>
      <c r="AH4" s="62" t="s">
        <v>33</v>
      </c>
      <c r="AI4" s="62" t="s">
        <v>32</v>
      </c>
      <c r="AJ4" s="62" t="s">
        <v>31</v>
      </c>
      <c r="AK4" s="63" t="s">
        <v>33</v>
      </c>
      <c r="AL4" s="63" t="s">
        <v>32</v>
      </c>
      <c r="AM4" s="63" t="s">
        <v>31</v>
      </c>
      <c r="AN4" s="64" t="s">
        <v>33</v>
      </c>
      <c r="AO4" s="64" t="s">
        <v>32</v>
      </c>
      <c r="AP4" s="64" t="s">
        <v>31</v>
      </c>
      <c r="AQ4" s="56" t="s">
        <v>49</v>
      </c>
      <c r="AR4" s="57" t="s">
        <v>48</v>
      </c>
      <c r="AS4" s="111" t="s">
        <v>35</v>
      </c>
      <c r="AT4" s="112" t="s">
        <v>105</v>
      </c>
      <c r="AU4" s="110" t="s">
        <v>68</v>
      </c>
      <c r="AV4" s="110" t="s">
        <v>69</v>
      </c>
      <c r="AW4" s="202"/>
      <c r="AY4" s="149" t="s">
        <v>282</v>
      </c>
      <c r="AZ4" s="149" t="s">
        <v>283</v>
      </c>
      <c r="BA4" s="149" t="s">
        <v>281</v>
      </c>
      <c r="BB4" s="149" t="s">
        <v>284</v>
      </c>
      <c r="BD4" s="15" t="s">
        <v>109</v>
      </c>
      <c r="BE4" s="15" t="s">
        <v>110</v>
      </c>
      <c r="BF4" s="15" t="s">
        <v>107</v>
      </c>
      <c r="BG4" s="15" t="s">
        <v>111</v>
      </c>
      <c r="BH4" s="15" t="s">
        <v>112</v>
      </c>
      <c r="BI4" s="15" t="s">
        <v>113</v>
      </c>
      <c r="BJ4" s="15" t="s">
        <v>114</v>
      </c>
      <c r="BK4" s="15" t="s">
        <v>109</v>
      </c>
      <c r="BL4" s="15" t="s">
        <v>115</v>
      </c>
      <c r="BM4" s="15" t="s">
        <v>116</v>
      </c>
    </row>
    <row r="5" spans="1:65" ht="14.25" customHeight="1" thickBot="1" x14ac:dyDescent="0.25">
      <c r="A5" s="50">
        <v>3.2280000000000003E-2</v>
      </c>
      <c r="B5" s="27">
        <f>VLOOKUP(F5,Planilha3!D:F,3,0)</f>
        <v>1663.6932576133315</v>
      </c>
      <c r="C5" s="47">
        <f>B5/A5</f>
        <v>51539.444163981767</v>
      </c>
      <c r="D5" s="47" t="s">
        <v>82</v>
      </c>
      <c r="E5" s="47" t="s">
        <v>83</v>
      </c>
      <c r="F5" s="20">
        <v>904113</v>
      </c>
      <c r="G5" s="20">
        <v>1052772</v>
      </c>
      <c r="H5" s="11" t="s">
        <v>30</v>
      </c>
      <c r="I5" s="20">
        <v>12</v>
      </c>
      <c r="J5" s="20">
        <v>336</v>
      </c>
      <c r="K5" s="123">
        <f t="shared" ref="K5:K14" si="0">J5*24</f>
        <v>8064</v>
      </c>
      <c r="L5" s="125">
        <f>K5*85</f>
        <v>685440</v>
      </c>
      <c r="M5" s="178">
        <f t="shared" ref="M5:M47" si="1">L5/J5</f>
        <v>2040</v>
      </c>
      <c r="N5" s="84">
        <f t="shared" ref="N5:N30" si="2">L5/K5</f>
        <v>85</v>
      </c>
      <c r="O5" s="148">
        <v>33.159999999999997</v>
      </c>
      <c r="P5" s="135">
        <f>O5/I5</f>
        <v>2.7633333333333332</v>
      </c>
      <c r="Q5" s="13">
        <f t="shared" ref="Q5:Q47" si="3">R5*I5</f>
        <v>0.60000000000000009</v>
      </c>
      <c r="R5" s="13">
        <v>0.05</v>
      </c>
      <c r="S5" s="74">
        <f t="shared" ref="S5:S47" si="4">T5*I5</f>
        <v>3.5999999999999996</v>
      </c>
      <c r="T5" s="74">
        <v>0.3</v>
      </c>
      <c r="U5" s="121">
        <f>SUM(R5,T5)</f>
        <v>0.35</v>
      </c>
      <c r="V5" s="121">
        <v>0.35</v>
      </c>
      <c r="W5" s="157">
        <f>VLOOKUP(F5,'[1]Proposta HNK para Tenda'!$F:$T,15,0)</f>
        <v>3.2900000000000005</v>
      </c>
      <c r="X5" s="157">
        <f>VLOOKUP(F5,'[1]Proposta HNK para Tenda'!$F:$U,16,0)</f>
        <v>3.0900000000000003</v>
      </c>
      <c r="Y5" s="157">
        <v>2.79</v>
      </c>
      <c r="Z5" s="45">
        <f t="shared" ref="Z5:Z47" si="5">L5*(Q5+S5)</f>
        <v>2878847.9999999995</v>
      </c>
      <c r="AA5" s="8">
        <f t="shared" ref="AA5:AA47" si="6">L5*O5</f>
        <v>22729190.399999999</v>
      </c>
      <c r="AB5" s="32">
        <f>L5*12*0.269/100</f>
        <v>22126.003200000003</v>
      </c>
      <c r="AC5" s="43"/>
      <c r="AD5" s="44">
        <f t="shared" ref="AD5:AD47" si="7">SUM(AJ5,AM5,AP5)</f>
        <v>0.36812650000000002</v>
      </c>
      <c r="AE5" s="39">
        <f t="shared" ref="AE5:AE47" si="8">SUM(R5,T5)</f>
        <v>0.35</v>
      </c>
      <c r="AF5" s="39">
        <f>AD5-AE5</f>
        <v>1.8126500000000045E-2</v>
      </c>
      <c r="AH5" s="175">
        <v>19.98</v>
      </c>
      <c r="AI5" s="175">
        <f t="shared" ref="AI5:AI47" si="9">AH5*AB5</f>
        <v>442077.54393600009</v>
      </c>
      <c r="AJ5" s="175">
        <f t="shared" ref="AJ5:AJ47" si="10">AI5/L5/I5</f>
        <v>5.3746200000000015E-2</v>
      </c>
      <c r="AK5" s="175">
        <v>23.87</v>
      </c>
      <c r="AL5" s="175">
        <f t="shared" ref="AL5:AL47" si="11">AK5*AB5</f>
        <v>528147.69638400013</v>
      </c>
      <c r="AM5" s="175">
        <f t="shared" ref="AM5:AM47" si="12">AL5/L5/I5</f>
        <v>6.4210300000000012E-2</v>
      </c>
      <c r="AN5" s="174">
        <v>93</v>
      </c>
      <c r="AO5" s="174">
        <f t="shared" ref="AO5:AO47" si="13">AN5*AB5</f>
        <v>2057718.2976000002</v>
      </c>
      <c r="AP5" s="174">
        <f t="shared" ref="AP5:AP47" si="14">AO5/L5/I5</f>
        <v>0.25017</v>
      </c>
      <c r="AQ5" s="7">
        <f t="shared" ref="AQ5:AR47" si="15">SUM(AI5,AL5,AO5)</f>
        <v>3027943.5379200005</v>
      </c>
      <c r="AR5" s="7">
        <f t="shared" si="15"/>
        <v>0.36812650000000002</v>
      </c>
      <c r="AS5" s="40">
        <f t="shared" ref="AS5:AS47" si="16">Z5</f>
        <v>2878847.9999999995</v>
      </c>
      <c r="AT5" s="40">
        <f>AQ5-AS5</f>
        <v>149095.53792000096</v>
      </c>
      <c r="AU5" s="7">
        <f t="shared" ref="AU5:AU47" si="17">O5/I5</f>
        <v>2.7633333333333332</v>
      </c>
      <c r="AV5" s="40">
        <f t="shared" ref="AV5:AV47" si="18">AU5-R5-T5</f>
        <v>2.4133333333333336</v>
      </c>
      <c r="AW5" s="41">
        <f t="shared" ref="AW5:AW47" si="19">(X5-AV5)/X5</f>
        <v>0.21898597626752966</v>
      </c>
      <c r="AY5" s="155">
        <f>X5*50%</f>
        <v>1.5450000000000002</v>
      </c>
      <c r="AZ5" s="156">
        <f>Y5*50%</f>
        <v>1.395</v>
      </c>
      <c r="BA5" s="158">
        <f>AY5+AZ5</f>
        <v>2.9400000000000004</v>
      </c>
      <c r="BB5" s="162">
        <f>(X5-Y5)/X5</f>
        <v>9.7087378640776781E-2</v>
      </c>
      <c r="BD5" s="86" t="s">
        <v>106</v>
      </c>
      <c r="BE5" s="86" t="s">
        <v>263</v>
      </c>
      <c r="BF5" s="87" t="s">
        <v>264</v>
      </c>
      <c r="BG5" s="87">
        <v>387000650117</v>
      </c>
      <c r="BH5" s="86" t="s">
        <v>265</v>
      </c>
      <c r="BI5" s="86">
        <v>2222</v>
      </c>
      <c r="BJ5" s="86" t="s">
        <v>266</v>
      </c>
      <c r="BK5" s="86">
        <v>13312250</v>
      </c>
      <c r="BL5" s="86" t="s">
        <v>267</v>
      </c>
      <c r="BM5" s="86" t="s">
        <v>108</v>
      </c>
    </row>
    <row r="6" spans="1:65" ht="14.25" customHeight="1" thickBot="1" x14ac:dyDescent="0.25">
      <c r="A6" s="50">
        <v>4.2000000000000003E-2</v>
      </c>
      <c r="B6" s="27">
        <f>VLOOKUP(F6,Planilha3!D:F,3,0)</f>
        <v>1031.9337719008988</v>
      </c>
      <c r="C6" s="47">
        <f t="shared" ref="C6:C47" si="20">B6/A6</f>
        <v>24569.85171192616</v>
      </c>
      <c r="D6" s="47" t="s">
        <v>82</v>
      </c>
      <c r="E6" s="47" t="s">
        <v>83</v>
      </c>
      <c r="F6" s="20">
        <v>904952</v>
      </c>
      <c r="G6" s="20">
        <v>1193288</v>
      </c>
      <c r="H6" s="11" t="s">
        <v>53</v>
      </c>
      <c r="I6" s="20">
        <v>12</v>
      </c>
      <c r="J6" s="20">
        <v>280</v>
      </c>
      <c r="K6" s="123">
        <f t="shared" si="0"/>
        <v>6720</v>
      </c>
      <c r="L6" s="125">
        <v>302400</v>
      </c>
      <c r="M6" s="178">
        <f t="shared" si="1"/>
        <v>1080</v>
      </c>
      <c r="N6" s="84">
        <f t="shared" si="2"/>
        <v>45</v>
      </c>
      <c r="O6" s="148">
        <v>39.21</v>
      </c>
      <c r="P6" s="135">
        <f t="shared" ref="P6:P47" si="21">O6/I6</f>
        <v>3.2675000000000001</v>
      </c>
      <c r="Q6" s="13">
        <f t="shared" si="3"/>
        <v>1.2000000000000002</v>
      </c>
      <c r="R6" s="13">
        <v>0.1</v>
      </c>
      <c r="S6" s="74">
        <f t="shared" si="4"/>
        <v>3.24</v>
      </c>
      <c r="T6" s="74">
        <v>0.27</v>
      </c>
      <c r="U6" s="121">
        <f t="shared" ref="U6:U47" si="22">SUM(R6,T6)</f>
        <v>0.37</v>
      </c>
      <c r="V6" s="121">
        <v>0.37</v>
      </c>
      <c r="W6" s="157">
        <f>VLOOKUP(F6,'[1]Proposta HNK para Tenda'!$F:$T,15,0)</f>
        <v>3.89</v>
      </c>
      <c r="X6" s="157">
        <f>VLOOKUP(F6,'[1]Proposta HNK para Tenda'!$F:$U,16,0)</f>
        <v>3.6900000000000004</v>
      </c>
      <c r="Y6" s="157">
        <v>3.29</v>
      </c>
      <c r="Z6" s="45">
        <f t="shared" si="5"/>
        <v>1342656.0000000002</v>
      </c>
      <c r="AA6" s="8">
        <f t="shared" si="6"/>
        <v>11857104</v>
      </c>
      <c r="AB6" s="32">
        <f>L6*12*0.35/100</f>
        <v>12700.8</v>
      </c>
      <c r="AC6" s="43"/>
      <c r="AD6" s="44">
        <f t="shared" si="7"/>
        <v>0.378</v>
      </c>
      <c r="AE6" s="39">
        <f t="shared" si="8"/>
        <v>0.37</v>
      </c>
      <c r="AF6" s="39">
        <f t="shared" ref="AF6:AF47" si="23">AD6-AE6</f>
        <v>8.0000000000000071E-3</v>
      </c>
      <c r="AH6" s="175">
        <v>21.4</v>
      </c>
      <c r="AI6" s="175">
        <f t="shared" si="9"/>
        <v>271797.12</v>
      </c>
      <c r="AJ6" s="175">
        <f t="shared" si="10"/>
        <v>7.4899999999999994E-2</v>
      </c>
      <c r="AK6" s="175">
        <v>21.6</v>
      </c>
      <c r="AL6" s="175">
        <f t="shared" si="11"/>
        <v>274337.28000000003</v>
      </c>
      <c r="AM6" s="175">
        <f t="shared" si="12"/>
        <v>7.5600000000000014E-2</v>
      </c>
      <c r="AN6" s="174">
        <v>65</v>
      </c>
      <c r="AO6" s="174">
        <f t="shared" si="13"/>
        <v>825552</v>
      </c>
      <c r="AP6" s="174">
        <f t="shared" si="14"/>
        <v>0.22750000000000001</v>
      </c>
      <c r="AQ6" s="7">
        <f t="shared" si="15"/>
        <v>1371686.4</v>
      </c>
      <c r="AR6" s="7">
        <f t="shared" si="15"/>
        <v>0.378</v>
      </c>
      <c r="AS6" s="40">
        <f t="shared" si="16"/>
        <v>1342656.0000000002</v>
      </c>
      <c r="AT6" s="40">
        <f t="shared" ref="AT6:AT47" si="24">AQ6-AS6</f>
        <v>29030.399999999674</v>
      </c>
      <c r="AU6" s="7">
        <f t="shared" si="17"/>
        <v>3.2675000000000001</v>
      </c>
      <c r="AV6" s="40">
        <f t="shared" si="18"/>
        <v>2.8975</v>
      </c>
      <c r="AW6" s="41">
        <f t="shared" si="19"/>
        <v>0.21476964769647705</v>
      </c>
      <c r="AY6" s="153">
        <f>X6*50%</f>
        <v>1.8450000000000002</v>
      </c>
      <c r="AZ6" s="154">
        <f>Y6*50%</f>
        <v>1.645</v>
      </c>
      <c r="BA6" s="159">
        <f t="shared" ref="BA6:BA47" si="25">AY6+AZ6</f>
        <v>3.49</v>
      </c>
      <c r="BB6" s="163">
        <f>(X6-Y6)/X6</f>
        <v>0.1084010840108402</v>
      </c>
      <c r="BD6" s="86" t="s">
        <v>121</v>
      </c>
      <c r="BE6" s="86" t="s">
        <v>263</v>
      </c>
      <c r="BF6" s="87" t="s">
        <v>268</v>
      </c>
      <c r="BG6" s="87">
        <v>392558326113</v>
      </c>
      <c r="BH6" s="86" t="s">
        <v>269</v>
      </c>
      <c r="BI6" s="86">
        <v>2911</v>
      </c>
      <c r="BJ6" s="86" t="s">
        <v>270</v>
      </c>
      <c r="BK6" s="86">
        <v>12321150</v>
      </c>
      <c r="BL6" s="86" t="s">
        <v>271</v>
      </c>
      <c r="BM6" s="86" t="s">
        <v>108</v>
      </c>
    </row>
    <row r="7" spans="1:65" ht="14.25" customHeight="1" thickBot="1" x14ac:dyDescent="0.25">
      <c r="A7" s="51">
        <v>7.1999999999999995E-2</v>
      </c>
      <c r="B7" s="27">
        <f>VLOOKUP(F7,Planilha3!D:F,3,0)</f>
        <v>40.230639601668081</v>
      </c>
      <c r="C7" s="47">
        <f t="shared" si="20"/>
        <v>558.7588833565012</v>
      </c>
      <c r="D7" s="47" t="s">
        <v>82</v>
      </c>
      <c r="E7" s="47" t="s">
        <v>83</v>
      </c>
      <c r="F7" s="20">
        <v>905052</v>
      </c>
      <c r="G7" s="20">
        <v>1207152</v>
      </c>
      <c r="H7" s="11" t="s">
        <v>122</v>
      </c>
      <c r="I7" s="20">
        <v>12</v>
      </c>
      <c r="J7" s="20">
        <v>175</v>
      </c>
      <c r="K7" s="123">
        <f t="shared" si="0"/>
        <v>4200</v>
      </c>
      <c r="L7" s="125">
        <v>8400</v>
      </c>
      <c r="M7" s="178">
        <f t="shared" si="1"/>
        <v>48</v>
      </c>
      <c r="N7" s="84">
        <f t="shared" si="2"/>
        <v>2</v>
      </c>
      <c r="O7" s="148">
        <v>47.28</v>
      </c>
      <c r="P7" s="135">
        <f t="shared" si="21"/>
        <v>3.94</v>
      </c>
      <c r="Q7" s="13">
        <f t="shared" si="3"/>
        <v>0.60000000000000009</v>
      </c>
      <c r="R7" s="13">
        <v>0.05</v>
      </c>
      <c r="S7" s="74">
        <f t="shared" si="4"/>
        <v>9</v>
      </c>
      <c r="T7" s="74">
        <v>0.75</v>
      </c>
      <c r="U7" s="121">
        <f t="shared" si="22"/>
        <v>0.8</v>
      </c>
      <c r="V7" s="183">
        <v>0.8</v>
      </c>
      <c r="W7" s="36">
        <f>VLOOKUP(F7,'[1]Proposta HNK para Tenda'!$F:$T,15,0)</f>
        <v>4.6900000000000004</v>
      </c>
      <c r="X7" s="36">
        <f>VLOOKUP(F7,'[1]Proposta HNK para Tenda'!$F:$U,16,0)</f>
        <v>4.49</v>
      </c>
      <c r="Y7" s="36"/>
      <c r="Z7" s="45">
        <f t="shared" si="5"/>
        <v>80640</v>
      </c>
      <c r="AA7" s="8">
        <f t="shared" si="6"/>
        <v>397152</v>
      </c>
      <c r="AB7" s="32">
        <f>L7*12*0.355/100</f>
        <v>357.84</v>
      </c>
      <c r="AC7" s="43"/>
      <c r="AD7" s="44">
        <f t="shared" si="7"/>
        <v>0.16624649999999999</v>
      </c>
      <c r="AE7" s="200">
        <f t="shared" si="8"/>
        <v>0.8</v>
      </c>
      <c r="AF7" s="39">
        <f t="shared" si="23"/>
        <v>-0.63375350000000008</v>
      </c>
      <c r="AH7" s="175">
        <v>21.03</v>
      </c>
      <c r="AI7" s="175">
        <f t="shared" si="9"/>
        <v>7525.3751999999995</v>
      </c>
      <c r="AJ7" s="175">
        <f t="shared" si="10"/>
        <v>7.4656500000000001E-2</v>
      </c>
      <c r="AK7" s="175">
        <v>25.8</v>
      </c>
      <c r="AL7" s="175">
        <f t="shared" si="11"/>
        <v>9232.271999999999</v>
      </c>
      <c r="AM7" s="175">
        <f t="shared" si="12"/>
        <v>9.1589999999999991E-2</v>
      </c>
      <c r="AN7" s="7">
        <v>0</v>
      </c>
      <c r="AO7" s="137">
        <f t="shared" si="13"/>
        <v>0</v>
      </c>
      <c r="AP7" s="137">
        <f t="shared" si="14"/>
        <v>0</v>
      </c>
      <c r="AQ7" s="7">
        <f t="shared" si="15"/>
        <v>16757.647199999999</v>
      </c>
      <c r="AR7" s="7">
        <f t="shared" si="15"/>
        <v>0.16624649999999999</v>
      </c>
      <c r="AS7" s="40">
        <f t="shared" si="16"/>
        <v>80640</v>
      </c>
      <c r="AT7" s="40">
        <f t="shared" si="24"/>
        <v>-63882.352800000001</v>
      </c>
      <c r="AU7" s="7">
        <f t="shared" si="17"/>
        <v>3.94</v>
      </c>
      <c r="AV7" s="40">
        <f t="shared" si="18"/>
        <v>3.14</v>
      </c>
      <c r="AW7" s="41">
        <f t="shared" si="19"/>
        <v>0.30066815144766146</v>
      </c>
      <c r="AY7" s="150">
        <f t="shared" ref="AY7:AY18" si="26">X7*100%</f>
        <v>4.49</v>
      </c>
      <c r="AZ7" s="151">
        <f t="shared" ref="AZ7:AZ47" si="27">Y7*50%</f>
        <v>0</v>
      </c>
      <c r="BA7" s="160">
        <f t="shared" si="25"/>
        <v>4.49</v>
      </c>
      <c r="BB7" s="164"/>
      <c r="BD7" s="86" t="s">
        <v>106</v>
      </c>
      <c r="BE7" s="86" t="s">
        <v>263</v>
      </c>
      <c r="BF7" s="87" t="s">
        <v>264</v>
      </c>
      <c r="BG7" s="87">
        <v>387000650117</v>
      </c>
      <c r="BH7" s="86" t="s">
        <v>265</v>
      </c>
      <c r="BI7" s="86">
        <v>2222</v>
      </c>
      <c r="BJ7" s="86" t="s">
        <v>266</v>
      </c>
      <c r="BK7" s="86">
        <v>13312250</v>
      </c>
      <c r="BL7" s="86" t="s">
        <v>267</v>
      </c>
      <c r="BM7" s="86" t="s">
        <v>108</v>
      </c>
    </row>
    <row r="8" spans="1:65" ht="14.25" customHeight="1" thickBot="1" x14ac:dyDescent="0.25">
      <c r="A8" s="51">
        <f>0.275*12/100</f>
        <v>3.3000000000000002E-2</v>
      </c>
      <c r="B8" s="27" t="e">
        <f>VLOOKUP(F8,Planilha3!D:F,3,0)</f>
        <v>#N/A</v>
      </c>
      <c r="C8" s="47" t="e">
        <f t="shared" si="20"/>
        <v>#N/A</v>
      </c>
      <c r="D8" s="47" t="s">
        <v>82</v>
      </c>
      <c r="E8" s="47" t="s">
        <v>83</v>
      </c>
      <c r="F8" s="186">
        <v>904632</v>
      </c>
      <c r="G8" s="186">
        <v>1155684</v>
      </c>
      <c r="H8" s="187" t="s">
        <v>247</v>
      </c>
      <c r="I8" s="186">
        <v>12</v>
      </c>
      <c r="J8" s="186">
        <v>364</v>
      </c>
      <c r="K8" s="188">
        <f t="shared" si="0"/>
        <v>8736</v>
      </c>
      <c r="L8" s="125">
        <f>J8*68</f>
        <v>24752</v>
      </c>
      <c r="M8" s="178">
        <f t="shared" si="1"/>
        <v>68</v>
      </c>
      <c r="N8" s="84">
        <f t="shared" si="2"/>
        <v>2.8333333333333335</v>
      </c>
      <c r="O8" s="148">
        <v>39.26</v>
      </c>
      <c r="P8" s="135">
        <f t="shared" si="21"/>
        <v>3.2716666666666665</v>
      </c>
      <c r="Q8" s="13">
        <f t="shared" si="3"/>
        <v>1.2000000000000002</v>
      </c>
      <c r="R8" s="13">
        <v>0.1</v>
      </c>
      <c r="S8" s="74">
        <f t="shared" si="4"/>
        <v>1.56</v>
      </c>
      <c r="T8" s="74">
        <v>0.13</v>
      </c>
      <c r="U8" s="121">
        <f t="shared" si="22"/>
        <v>0.23</v>
      </c>
      <c r="V8" s="121">
        <v>0.23</v>
      </c>
      <c r="W8" s="36">
        <v>3.99</v>
      </c>
      <c r="X8" s="36">
        <v>3.49</v>
      </c>
      <c r="Y8" s="36"/>
      <c r="Z8" s="45">
        <f t="shared" si="5"/>
        <v>68315.520000000004</v>
      </c>
      <c r="AA8" s="8">
        <f t="shared" si="6"/>
        <v>971763.5199999999</v>
      </c>
      <c r="AB8" s="32">
        <f>L8*12*0.275/100</f>
        <v>816.81600000000003</v>
      </c>
      <c r="AC8" s="43"/>
      <c r="AD8" s="44">
        <f t="shared" si="7"/>
        <v>0.23773750000000005</v>
      </c>
      <c r="AE8" s="39">
        <f t="shared" si="8"/>
        <v>0.23</v>
      </c>
      <c r="AF8" s="39">
        <f t="shared" si="23"/>
        <v>7.737500000000036E-3</v>
      </c>
      <c r="AH8" s="175">
        <v>86.45</v>
      </c>
      <c r="AI8" s="175">
        <f t="shared" si="9"/>
        <v>70613.743200000012</v>
      </c>
      <c r="AJ8" s="175">
        <f t="shared" si="10"/>
        <v>0.23773750000000005</v>
      </c>
      <c r="AK8" s="137">
        <v>0</v>
      </c>
      <c r="AL8" s="137">
        <f t="shared" si="11"/>
        <v>0</v>
      </c>
      <c r="AM8" s="137">
        <f t="shared" si="12"/>
        <v>0</v>
      </c>
      <c r="AN8" s="7">
        <v>0</v>
      </c>
      <c r="AO8" s="137">
        <f t="shared" si="13"/>
        <v>0</v>
      </c>
      <c r="AP8" s="137">
        <f t="shared" si="14"/>
        <v>0</v>
      </c>
      <c r="AQ8" s="7">
        <f t="shared" si="15"/>
        <v>70613.743200000012</v>
      </c>
      <c r="AR8" s="7">
        <f t="shared" si="15"/>
        <v>0.23773750000000005</v>
      </c>
      <c r="AS8" s="40">
        <f t="shared" si="16"/>
        <v>68315.520000000004</v>
      </c>
      <c r="AT8" s="40">
        <f t="shared" si="24"/>
        <v>2298.2232000000076</v>
      </c>
      <c r="AU8" s="7">
        <f t="shared" si="17"/>
        <v>3.2716666666666665</v>
      </c>
      <c r="AV8" s="40">
        <f t="shared" si="18"/>
        <v>3.0416666666666665</v>
      </c>
      <c r="AW8" s="41">
        <f t="shared" si="19"/>
        <v>0.12846227316141365</v>
      </c>
      <c r="AY8" s="150">
        <f t="shared" si="26"/>
        <v>3.49</v>
      </c>
      <c r="AZ8" s="151">
        <f t="shared" si="27"/>
        <v>0</v>
      </c>
      <c r="BA8" s="160">
        <f t="shared" si="25"/>
        <v>3.49</v>
      </c>
      <c r="BB8" s="164"/>
      <c r="BD8" s="86" t="s">
        <v>106</v>
      </c>
      <c r="BE8" s="86" t="s">
        <v>263</v>
      </c>
      <c r="BF8" s="87" t="s">
        <v>264</v>
      </c>
      <c r="BG8" s="87">
        <v>387000650117</v>
      </c>
      <c r="BH8" s="86" t="s">
        <v>265</v>
      </c>
      <c r="BI8" s="86">
        <v>2222</v>
      </c>
      <c r="BJ8" s="86" t="s">
        <v>266</v>
      </c>
      <c r="BK8" s="86">
        <v>13312250</v>
      </c>
      <c r="BL8" s="86" t="s">
        <v>267</v>
      </c>
      <c r="BM8" s="86" t="s">
        <v>108</v>
      </c>
    </row>
    <row r="9" spans="1:65" ht="14.25" customHeight="1" thickBot="1" x14ac:dyDescent="0.25">
      <c r="A9" s="51">
        <f>0.275*12/100</f>
        <v>3.3000000000000002E-2</v>
      </c>
      <c r="B9" s="27">
        <f>VLOOKUP(F9,Planilha3!D:F,3,0)</f>
        <v>7.6058014710560764</v>
      </c>
      <c r="C9" s="47">
        <f t="shared" si="20"/>
        <v>230.47883245624473</v>
      </c>
      <c r="D9" s="47" t="s">
        <v>82</v>
      </c>
      <c r="E9" s="47" t="s">
        <v>83</v>
      </c>
      <c r="F9" s="186">
        <v>904631</v>
      </c>
      <c r="G9" s="186">
        <v>1160860</v>
      </c>
      <c r="H9" s="187" t="s">
        <v>29</v>
      </c>
      <c r="I9" s="186">
        <v>12</v>
      </c>
      <c r="J9" s="186">
        <v>196</v>
      </c>
      <c r="K9" s="188">
        <f t="shared" si="0"/>
        <v>4704</v>
      </c>
      <c r="L9" s="125">
        <v>0</v>
      </c>
      <c r="M9" s="179">
        <f t="shared" si="1"/>
        <v>0</v>
      </c>
      <c r="N9" s="84">
        <f t="shared" si="2"/>
        <v>0</v>
      </c>
      <c r="O9" s="148">
        <v>47.13</v>
      </c>
      <c r="P9" s="135">
        <f t="shared" si="21"/>
        <v>3.9275000000000002</v>
      </c>
      <c r="Q9" s="9">
        <f t="shared" si="3"/>
        <v>0</v>
      </c>
      <c r="R9" s="9">
        <v>0</v>
      </c>
      <c r="S9" s="29">
        <f t="shared" si="4"/>
        <v>0</v>
      </c>
      <c r="T9" s="29">
        <v>0</v>
      </c>
      <c r="U9" s="121">
        <f t="shared" si="22"/>
        <v>0</v>
      </c>
      <c r="V9" s="121">
        <v>0</v>
      </c>
      <c r="W9" s="36">
        <f>VLOOKUP(F9,'[1]Proposta HNK para Tenda'!$F:$T,15,0)</f>
        <v>4.7900000000000009</v>
      </c>
      <c r="X9" s="36">
        <f>VLOOKUP(F9,'[1]Proposta HNK para Tenda'!$F:$U,16,0)</f>
        <v>4.7900000000000009</v>
      </c>
      <c r="Y9" s="36"/>
      <c r="Z9" s="45">
        <f t="shared" si="5"/>
        <v>0</v>
      </c>
      <c r="AA9" s="8">
        <f t="shared" si="6"/>
        <v>0</v>
      </c>
      <c r="AB9" s="32">
        <f>L9*12*0.275/100</f>
        <v>0</v>
      </c>
      <c r="AC9" s="43"/>
      <c r="AD9" s="44" t="e">
        <f t="shared" si="7"/>
        <v>#DIV/0!</v>
      </c>
      <c r="AE9" s="39">
        <f t="shared" si="8"/>
        <v>0</v>
      </c>
      <c r="AF9" s="39" t="e">
        <f t="shared" si="23"/>
        <v>#DIV/0!</v>
      </c>
      <c r="AH9" s="137">
        <v>0</v>
      </c>
      <c r="AI9" s="7">
        <f t="shared" si="9"/>
        <v>0</v>
      </c>
      <c r="AJ9" s="7" t="e">
        <f t="shared" si="10"/>
        <v>#DIV/0!</v>
      </c>
      <c r="AK9" s="7"/>
      <c r="AL9" s="7">
        <f t="shared" si="11"/>
        <v>0</v>
      </c>
      <c r="AM9" s="7" t="e">
        <f t="shared" si="12"/>
        <v>#DIV/0!</v>
      </c>
      <c r="AN9" s="7">
        <v>0</v>
      </c>
      <c r="AO9" s="137">
        <f t="shared" si="13"/>
        <v>0</v>
      </c>
      <c r="AP9" s="137" t="e">
        <f t="shared" si="14"/>
        <v>#DIV/0!</v>
      </c>
      <c r="AQ9" s="7">
        <f t="shared" si="15"/>
        <v>0</v>
      </c>
      <c r="AR9" s="7" t="e">
        <f t="shared" si="15"/>
        <v>#DIV/0!</v>
      </c>
      <c r="AS9" s="40">
        <f t="shared" si="16"/>
        <v>0</v>
      </c>
      <c r="AT9" s="40">
        <f t="shared" si="24"/>
        <v>0</v>
      </c>
      <c r="AU9" s="7">
        <f t="shared" si="17"/>
        <v>3.9275000000000002</v>
      </c>
      <c r="AV9" s="40">
        <f t="shared" si="18"/>
        <v>3.9275000000000002</v>
      </c>
      <c r="AW9" s="41">
        <f t="shared" si="19"/>
        <v>0.18006263048016713</v>
      </c>
      <c r="AY9" s="150">
        <f t="shared" si="26"/>
        <v>4.7900000000000009</v>
      </c>
      <c r="AZ9" s="151">
        <f t="shared" si="27"/>
        <v>0</v>
      </c>
      <c r="BA9" s="160">
        <f t="shared" si="25"/>
        <v>4.7900000000000009</v>
      </c>
      <c r="BB9" s="164"/>
      <c r="BD9" s="86" t="s">
        <v>106</v>
      </c>
      <c r="BE9" s="86" t="s">
        <v>263</v>
      </c>
      <c r="BF9" s="87" t="s">
        <v>264</v>
      </c>
      <c r="BG9" s="87">
        <v>387000650117</v>
      </c>
      <c r="BH9" s="86" t="s">
        <v>265</v>
      </c>
      <c r="BI9" s="86">
        <v>2222</v>
      </c>
      <c r="BJ9" s="86" t="s">
        <v>266</v>
      </c>
      <c r="BK9" s="86">
        <v>13312250</v>
      </c>
      <c r="BL9" s="86" t="s">
        <v>267</v>
      </c>
      <c r="BM9" s="86" t="s">
        <v>108</v>
      </c>
    </row>
    <row r="10" spans="1:65" ht="14.25" customHeight="1" thickBot="1" x14ac:dyDescent="0.25">
      <c r="A10" s="50">
        <v>3.2280000000000003E-2</v>
      </c>
      <c r="B10" s="27">
        <f>VLOOKUP(F10,Planilha3!D:F,3,0)</f>
        <v>113.71404514006571</v>
      </c>
      <c r="C10" s="47">
        <f t="shared" si="20"/>
        <v>3522.7399361854305</v>
      </c>
      <c r="D10" s="47" t="s">
        <v>74</v>
      </c>
      <c r="E10" s="47" t="s">
        <v>79</v>
      </c>
      <c r="F10" s="186">
        <v>904194</v>
      </c>
      <c r="G10" s="186">
        <v>1153719</v>
      </c>
      <c r="H10" s="187" t="s">
        <v>12</v>
      </c>
      <c r="I10" s="186">
        <v>12</v>
      </c>
      <c r="J10" s="186">
        <v>364</v>
      </c>
      <c r="K10" s="188">
        <f t="shared" si="0"/>
        <v>8736</v>
      </c>
      <c r="L10" s="125">
        <f>K10*2</f>
        <v>17472</v>
      </c>
      <c r="M10" s="179">
        <f t="shared" si="1"/>
        <v>48</v>
      </c>
      <c r="N10" s="84">
        <f t="shared" si="2"/>
        <v>2</v>
      </c>
      <c r="O10" s="148">
        <v>31.52</v>
      </c>
      <c r="P10" s="135">
        <f t="shared" si="21"/>
        <v>2.6266666666666665</v>
      </c>
      <c r="Q10" s="9">
        <f t="shared" si="3"/>
        <v>0</v>
      </c>
      <c r="R10" s="9">
        <v>0</v>
      </c>
      <c r="S10" s="29">
        <f t="shared" si="4"/>
        <v>0</v>
      </c>
      <c r="T10" s="29">
        <v>0</v>
      </c>
      <c r="U10" s="121">
        <f t="shared" si="22"/>
        <v>0</v>
      </c>
      <c r="V10" s="121">
        <v>0</v>
      </c>
      <c r="W10" s="36">
        <v>3.0900000000000003</v>
      </c>
      <c r="X10" s="36">
        <v>3.0900000000000003</v>
      </c>
      <c r="Y10" s="36"/>
      <c r="Z10" s="45">
        <f t="shared" si="5"/>
        <v>0</v>
      </c>
      <c r="AA10" s="8">
        <f t="shared" si="6"/>
        <v>550717.43999999994</v>
      </c>
      <c r="AB10" s="32">
        <f>L10*12*0.269/100</f>
        <v>563.99616000000003</v>
      </c>
      <c r="AC10" s="43"/>
      <c r="AD10" s="44">
        <f t="shared" si="7"/>
        <v>0</v>
      </c>
      <c r="AE10" s="39">
        <f t="shared" si="8"/>
        <v>0</v>
      </c>
      <c r="AF10" s="39">
        <f t="shared" si="23"/>
        <v>0</v>
      </c>
      <c r="AH10" s="137">
        <v>0</v>
      </c>
      <c r="AI10" s="137">
        <f t="shared" si="9"/>
        <v>0</v>
      </c>
      <c r="AJ10" s="137">
        <f t="shared" si="10"/>
        <v>0</v>
      </c>
      <c r="AK10" s="7"/>
      <c r="AL10" s="7">
        <f t="shared" si="11"/>
        <v>0</v>
      </c>
      <c r="AM10" s="7">
        <f t="shared" si="12"/>
        <v>0</v>
      </c>
      <c r="AN10" s="143">
        <v>0</v>
      </c>
      <c r="AO10" s="143">
        <f t="shared" si="13"/>
        <v>0</v>
      </c>
      <c r="AP10" s="143">
        <f t="shared" si="14"/>
        <v>0</v>
      </c>
      <c r="AQ10" s="7">
        <f t="shared" si="15"/>
        <v>0</v>
      </c>
      <c r="AR10" s="7">
        <f t="shared" si="15"/>
        <v>0</v>
      </c>
      <c r="AS10" s="40">
        <f t="shared" si="16"/>
        <v>0</v>
      </c>
      <c r="AT10" s="40">
        <f t="shared" si="24"/>
        <v>0</v>
      </c>
      <c r="AU10" s="7">
        <f t="shared" si="17"/>
        <v>2.6266666666666665</v>
      </c>
      <c r="AV10" s="40">
        <f t="shared" si="18"/>
        <v>2.6266666666666665</v>
      </c>
      <c r="AW10" s="41">
        <f t="shared" si="19"/>
        <v>0.14994606256742193</v>
      </c>
      <c r="AY10" s="150">
        <f t="shared" si="26"/>
        <v>3.0900000000000003</v>
      </c>
      <c r="AZ10" s="151">
        <f t="shared" si="27"/>
        <v>0</v>
      </c>
      <c r="BA10" s="160">
        <f t="shared" si="25"/>
        <v>3.0900000000000003</v>
      </c>
      <c r="BB10" s="164"/>
      <c r="BD10" s="86" t="s">
        <v>106</v>
      </c>
      <c r="BE10" s="86" t="s">
        <v>263</v>
      </c>
      <c r="BF10" s="87" t="s">
        <v>264</v>
      </c>
      <c r="BG10" s="87">
        <v>387000650117</v>
      </c>
      <c r="BH10" s="86" t="s">
        <v>265</v>
      </c>
      <c r="BI10" s="86">
        <v>2222</v>
      </c>
      <c r="BJ10" s="86" t="s">
        <v>266</v>
      </c>
      <c r="BK10" s="86">
        <v>13312250</v>
      </c>
      <c r="BL10" s="86" t="s">
        <v>267</v>
      </c>
      <c r="BM10" s="86" t="s">
        <v>108</v>
      </c>
    </row>
    <row r="11" spans="1:65" ht="14.25" customHeight="1" thickBot="1" x14ac:dyDescent="0.25">
      <c r="A11" s="51">
        <v>4.2000000000000003E-2</v>
      </c>
      <c r="B11" s="27">
        <f>VLOOKUP(F11,Planilha3!D:F,3,0)</f>
        <v>719.1538244488064</v>
      </c>
      <c r="C11" s="47">
        <f t="shared" si="20"/>
        <v>17122.710105923961</v>
      </c>
      <c r="D11" s="47" t="s">
        <v>74</v>
      </c>
      <c r="E11" s="47" t="s">
        <v>79</v>
      </c>
      <c r="F11" s="186">
        <v>903750</v>
      </c>
      <c r="G11" s="186">
        <v>1055249</v>
      </c>
      <c r="H11" s="187" t="s">
        <v>11</v>
      </c>
      <c r="I11" s="186">
        <v>12</v>
      </c>
      <c r="J11" s="186">
        <v>280</v>
      </c>
      <c r="K11" s="188">
        <f t="shared" si="0"/>
        <v>6720</v>
      </c>
      <c r="L11" s="125">
        <f>K11*6</f>
        <v>40320</v>
      </c>
      <c r="M11" s="179">
        <f t="shared" si="1"/>
        <v>144</v>
      </c>
      <c r="N11" s="84">
        <f t="shared" si="2"/>
        <v>6</v>
      </c>
      <c r="O11" s="148">
        <v>40.700000000000003</v>
      </c>
      <c r="P11" s="135">
        <f t="shared" si="21"/>
        <v>3.3916666666666671</v>
      </c>
      <c r="Q11" s="13">
        <f t="shared" si="3"/>
        <v>0</v>
      </c>
      <c r="R11" s="13">
        <v>0</v>
      </c>
      <c r="S11" s="74">
        <f t="shared" si="4"/>
        <v>0</v>
      </c>
      <c r="T11" s="74">
        <v>0</v>
      </c>
      <c r="U11" s="121">
        <f t="shared" si="22"/>
        <v>0</v>
      </c>
      <c r="V11" s="121">
        <v>0</v>
      </c>
      <c r="W11" s="36">
        <v>3.99</v>
      </c>
      <c r="X11" s="36">
        <v>3.99</v>
      </c>
      <c r="Y11" s="36"/>
      <c r="Z11" s="45">
        <f t="shared" si="5"/>
        <v>0</v>
      </c>
      <c r="AA11" s="8">
        <f t="shared" si="6"/>
        <v>1641024</v>
      </c>
      <c r="AB11" s="32">
        <f>L11*12*0.35/100</f>
        <v>1693.44</v>
      </c>
      <c r="AC11" s="43"/>
      <c r="AD11" s="44">
        <f t="shared" si="7"/>
        <v>0</v>
      </c>
      <c r="AE11" s="39">
        <f t="shared" si="8"/>
        <v>0</v>
      </c>
      <c r="AF11" s="39">
        <f t="shared" si="23"/>
        <v>0</v>
      </c>
      <c r="AH11" s="137">
        <v>0</v>
      </c>
      <c r="AI11" s="137">
        <f t="shared" si="9"/>
        <v>0</v>
      </c>
      <c r="AJ11" s="137">
        <f t="shared" si="10"/>
        <v>0</v>
      </c>
      <c r="AK11" s="7"/>
      <c r="AL11" s="7">
        <f t="shared" si="11"/>
        <v>0</v>
      </c>
      <c r="AM11" s="7">
        <f t="shared" si="12"/>
        <v>0</v>
      </c>
      <c r="AN11" s="143">
        <v>0</v>
      </c>
      <c r="AO11" s="143">
        <f t="shared" si="13"/>
        <v>0</v>
      </c>
      <c r="AP11" s="143">
        <f t="shared" si="14"/>
        <v>0</v>
      </c>
      <c r="AQ11" s="7">
        <f t="shared" si="15"/>
        <v>0</v>
      </c>
      <c r="AR11" s="7">
        <f t="shared" si="15"/>
        <v>0</v>
      </c>
      <c r="AS11" s="40">
        <f t="shared" si="16"/>
        <v>0</v>
      </c>
      <c r="AT11" s="40">
        <f t="shared" si="24"/>
        <v>0</v>
      </c>
      <c r="AU11" s="7">
        <f t="shared" si="17"/>
        <v>3.3916666666666671</v>
      </c>
      <c r="AV11" s="40">
        <f t="shared" si="18"/>
        <v>3.3916666666666671</v>
      </c>
      <c r="AW11" s="41">
        <f t="shared" si="19"/>
        <v>0.14995822890559726</v>
      </c>
      <c r="AY11" s="150">
        <f t="shared" si="26"/>
        <v>3.99</v>
      </c>
      <c r="AZ11" s="151">
        <f t="shared" si="27"/>
        <v>0</v>
      </c>
      <c r="BA11" s="160">
        <f t="shared" si="25"/>
        <v>3.99</v>
      </c>
      <c r="BB11" s="164"/>
      <c r="BD11" s="86" t="s">
        <v>106</v>
      </c>
      <c r="BE11" s="86" t="s">
        <v>263</v>
      </c>
      <c r="BF11" s="87" t="s">
        <v>264</v>
      </c>
      <c r="BG11" s="87">
        <v>387000650117</v>
      </c>
      <c r="BH11" s="86" t="s">
        <v>265</v>
      </c>
      <c r="BI11" s="86">
        <v>2222</v>
      </c>
      <c r="BJ11" s="86" t="s">
        <v>266</v>
      </c>
      <c r="BK11" s="86">
        <v>13312250</v>
      </c>
      <c r="BL11" s="86" t="s">
        <v>267</v>
      </c>
      <c r="BM11" s="86" t="s">
        <v>108</v>
      </c>
    </row>
    <row r="12" spans="1:65" ht="14.25" customHeight="1" thickBot="1" x14ac:dyDescent="0.25">
      <c r="A12" s="50">
        <v>4.2599999999999999E-2</v>
      </c>
      <c r="B12" s="27">
        <f>VLOOKUP(F12,Planilha3!D:F,3,0)</f>
        <v>44.325776915420867</v>
      </c>
      <c r="C12" s="47">
        <f t="shared" si="20"/>
        <v>1040.511195197673</v>
      </c>
      <c r="D12" s="47" t="s">
        <v>74</v>
      </c>
      <c r="E12" s="47" t="s">
        <v>79</v>
      </c>
      <c r="F12" s="186">
        <v>901781</v>
      </c>
      <c r="G12" s="186">
        <v>1016972</v>
      </c>
      <c r="H12" s="187" t="s">
        <v>10</v>
      </c>
      <c r="I12" s="186">
        <v>12</v>
      </c>
      <c r="J12" s="186">
        <v>175</v>
      </c>
      <c r="K12" s="188">
        <f t="shared" si="0"/>
        <v>4200</v>
      </c>
      <c r="L12" s="125">
        <f>K12*1</f>
        <v>4200</v>
      </c>
      <c r="M12" s="179">
        <f t="shared" si="1"/>
        <v>24</v>
      </c>
      <c r="N12" s="84">
        <f t="shared" si="2"/>
        <v>1</v>
      </c>
      <c r="O12" s="148">
        <v>51.92</v>
      </c>
      <c r="P12" s="135">
        <f t="shared" si="21"/>
        <v>4.3266666666666671</v>
      </c>
      <c r="Q12" s="13">
        <f t="shared" si="3"/>
        <v>3</v>
      </c>
      <c r="R12" s="13">
        <v>0.25</v>
      </c>
      <c r="S12" s="74">
        <f t="shared" si="4"/>
        <v>0.36</v>
      </c>
      <c r="T12" s="74">
        <v>0.03</v>
      </c>
      <c r="U12" s="121">
        <f t="shared" si="22"/>
        <v>0.28000000000000003</v>
      </c>
      <c r="V12" s="121">
        <v>0.28000000000000003</v>
      </c>
      <c r="W12" s="36">
        <v>5.0900000000000007</v>
      </c>
      <c r="X12" s="36">
        <v>4.1900000000000004</v>
      </c>
      <c r="Y12" s="36"/>
      <c r="Z12" s="45">
        <f t="shared" si="5"/>
        <v>14112</v>
      </c>
      <c r="AA12" s="8">
        <f t="shared" si="6"/>
        <v>218064</v>
      </c>
      <c r="AB12" s="32">
        <f>L12*12*0.355/100</f>
        <v>178.92</v>
      </c>
      <c r="AC12" s="43"/>
      <c r="AD12" s="44">
        <f t="shared" si="7"/>
        <v>0.28826000000000002</v>
      </c>
      <c r="AE12" s="39">
        <f t="shared" si="8"/>
        <v>0.28000000000000003</v>
      </c>
      <c r="AF12" s="39">
        <f t="shared" si="23"/>
        <v>8.2599999999999896E-3</v>
      </c>
      <c r="AH12" s="175">
        <v>81.2</v>
      </c>
      <c r="AI12" s="175">
        <f t="shared" si="9"/>
        <v>14528.304</v>
      </c>
      <c r="AJ12" s="175">
        <f t="shared" si="10"/>
        <v>0.28826000000000002</v>
      </c>
      <c r="AK12" s="7"/>
      <c r="AL12" s="7">
        <f t="shared" si="11"/>
        <v>0</v>
      </c>
      <c r="AM12" s="7">
        <f t="shared" si="12"/>
        <v>0</v>
      </c>
      <c r="AN12" s="7">
        <v>0</v>
      </c>
      <c r="AO12" s="137">
        <f t="shared" si="13"/>
        <v>0</v>
      </c>
      <c r="AP12" s="137">
        <f t="shared" si="14"/>
        <v>0</v>
      </c>
      <c r="AQ12" s="7">
        <f t="shared" si="15"/>
        <v>14528.304</v>
      </c>
      <c r="AR12" s="7">
        <f t="shared" si="15"/>
        <v>0.28826000000000002</v>
      </c>
      <c r="AS12" s="40">
        <f t="shared" si="16"/>
        <v>14112</v>
      </c>
      <c r="AT12" s="40">
        <f t="shared" si="24"/>
        <v>416.30400000000009</v>
      </c>
      <c r="AU12" s="7">
        <f t="shared" si="17"/>
        <v>4.3266666666666671</v>
      </c>
      <c r="AV12" s="40">
        <f t="shared" si="18"/>
        <v>4.0466666666666669</v>
      </c>
      <c r="AW12" s="41">
        <f t="shared" si="19"/>
        <v>3.4208432776451914E-2</v>
      </c>
      <c r="AY12" s="150">
        <f t="shared" si="26"/>
        <v>4.1900000000000004</v>
      </c>
      <c r="AZ12" s="151">
        <f t="shared" si="27"/>
        <v>0</v>
      </c>
      <c r="BA12" s="160">
        <f t="shared" si="25"/>
        <v>4.1900000000000004</v>
      </c>
      <c r="BB12" s="164"/>
      <c r="BD12" s="86" t="s">
        <v>106</v>
      </c>
      <c r="BE12" s="86" t="s">
        <v>263</v>
      </c>
      <c r="BF12" s="87" t="s">
        <v>264</v>
      </c>
      <c r="BG12" s="87">
        <v>387000650117</v>
      </c>
      <c r="BH12" s="86" t="s">
        <v>265</v>
      </c>
      <c r="BI12" s="86">
        <v>2222</v>
      </c>
      <c r="BJ12" s="86" t="s">
        <v>266</v>
      </c>
      <c r="BK12" s="86">
        <v>13312250</v>
      </c>
      <c r="BL12" s="86" t="s">
        <v>267</v>
      </c>
      <c r="BM12" s="86" t="s">
        <v>108</v>
      </c>
    </row>
    <row r="13" spans="1:65" ht="14.25" customHeight="1" thickBot="1" x14ac:dyDescent="0.25">
      <c r="A13" s="51">
        <v>4.2000000000000003E-2</v>
      </c>
      <c r="B13" s="27">
        <f>VLOOKUP(F13,Planilha3!D:F,3,0)</f>
        <v>32.202739533816178</v>
      </c>
      <c r="C13" s="47">
        <f t="shared" si="20"/>
        <v>766.73189366228996</v>
      </c>
      <c r="D13" s="47" t="s">
        <v>74</v>
      </c>
      <c r="E13" s="47" t="s">
        <v>79</v>
      </c>
      <c r="F13" s="186">
        <v>904772</v>
      </c>
      <c r="G13" s="186">
        <v>1170146</v>
      </c>
      <c r="H13" s="187" t="s">
        <v>9</v>
      </c>
      <c r="I13" s="186">
        <v>12</v>
      </c>
      <c r="J13" s="186">
        <v>280</v>
      </c>
      <c r="K13" s="188">
        <f t="shared" si="0"/>
        <v>6720</v>
      </c>
      <c r="L13" s="125">
        <v>6720</v>
      </c>
      <c r="M13" s="179">
        <f t="shared" si="1"/>
        <v>24</v>
      </c>
      <c r="N13" s="84">
        <f t="shared" si="2"/>
        <v>1</v>
      </c>
      <c r="O13" s="148">
        <v>40.700000000000003</v>
      </c>
      <c r="P13" s="135">
        <f t="shared" si="21"/>
        <v>3.3916666666666671</v>
      </c>
      <c r="Q13" s="9">
        <f t="shared" si="3"/>
        <v>0</v>
      </c>
      <c r="R13" s="9">
        <v>0</v>
      </c>
      <c r="S13" s="74">
        <f t="shared" si="4"/>
        <v>0</v>
      </c>
      <c r="T13" s="74">
        <v>0</v>
      </c>
      <c r="U13" s="121">
        <f t="shared" si="22"/>
        <v>0</v>
      </c>
      <c r="V13" s="121">
        <v>0</v>
      </c>
      <c r="W13" s="36">
        <v>3.99</v>
      </c>
      <c r="X13" s="36">
        <v>3.99</v>
      </c>
      <c r="Y13" s="36"/>
      <c r="Z13" s="45">
        <f t="shared" si="5"/>
        <v>0</v>
      </c>
      <c r="AA13" s="8">
        <f t="shared" si="6"/>
        <v>273504</v>
      </c>
      <c r="AB13" s="32">
        <f>L13*12*0.35/100</f>
        <v>282.24</v>
      </c>
      <c r="AC13" s="43"/>
      <c r="AD13" s="44">
        <f t="shared" si="7"/>
        <v>0</v>
      </c>
      <c r="AE13" s="39">
        <f t="shared" si="8"/>
        <v>0</v>
      </c>
      <c r="AF13" s="39">
        <f t="shared" si="23"/>
        <v>0</v>
      </c>
      <c r="AH13" s="137">
        <v>0</v>
      </c>
      <c r="AI13" s="137">
        <f t="shared" si="9"/>
        <v>0</v>
      </c>
      <c r="AJ13" s="137">
        <f t="shared" si="10"/>
        <v>0</v>
      </c>
      <c r="AK13" s="7"/>
      <c r="AL13" s="7">
        <f t="shared" si="11"/>
        <v>0</v>
      </c>
      <c r="AM13" s="7">
        <f t="shared" si="12"/>
        <v>0</v>
      </c>
      <c r="AN13" s="143">
        <v>0</v>
      </c>
      <c r="AO13" s="143">
        <f t="shared" si="13"/>
        <v>0</v>
      </c>
      <c r="AP13" s="143">
        <f t="shared" si="14"/>
        <v>0</v>
      </c>
      <c r="AQ13" s="7">
        <f t="shared" si="15"/>
        <v>0</v>
      </c>
      <c r="AR13" s="7">
        <f t="shared" si="15"/>
        <v>0</v>
      </c>
      <c r="AS13" s="40">
        <f t="shared" si="16"/>
        <v>0</v>
      </c>
      <c r="AT13" s="40">
        <f t="shared" si="24"/>
        <v>0</v>
      </c>
      <c r="AU13" s="7">
        <f t="shared" si="17"/>
        <v>3.3916666666666671</v>
      </c>
      <c r="AV13" s="40">
        <f t="shared" si="18"/>
        <v>3.3916666666666671</v>
      </c>
      <c r="AW13" s="41">
        <f t="shared" si="19"/>
        <v>0.14995822890559726</v>
      </c>
      <c r="AY13" s="150">
        <f t="shared" si="26"/>
        <v>3.99</v>
      </c>
      <c r="AZ13" s="151">
        <f t="shared" si="27"/>
        <v>0</v>
      </c>
      <c r="BA13" s="160">
        <f t="shared" si="25"/>
        <v>3.99</v>
      </c>
      <c r="BB13" s="164"/>
      <c r="BD13" s="86" t="s">
        <v>106</v>
      </c>
      <c r="BE13" s="86" t="s">
        <v>263</v>
      </c>
      <c r="BF13" s="87" t="s">
        <v>264</v>
      </c>
      <c r="BG13" s="87">
        <v>387000650117</v>
      </c>
      <c r="BH13" s="86" t="s">
        <v>265</v>
      </c>
      <c r="BI13" s="86">
        <v>2222</v>
      </c>
      <c r="BJ13" s="86" t="s">
        <v>266</v>
      </c>
      <c r="BK13" s="86">
        <v>13312250</v>
      </c>
      <c r="BL13" s="86" t="s">
        <v>267</v>
      </c>
      <c r="BM13" s="86" t="s">
        <v>108</v>
      </c>
    </row>
    <row r="14" spans="1:65" ht="14.25" customHeight="1" thickBot="1" x14ac:dyDescent="0.25">
      <c r="A14" s="50">
        <v>4.2599999999999999E-2</v>
      </c>
      <c r="B14" s="27">
        <f>VLOOKUP(F14,Planilha3!D:F,3,0)</f>
        <v>1.8908876264095478</v>
      </c>
      <c r="C14" s="47">
        <f t="shared" si="20"/>
        <v>44.387033483792202</v>
      </c>
      <c r="D14" s="47" t="s">
        <v>74</v>
      </c>
      <c r="E14" s="47" t="s">
        <v>79</v>
      </c>
      <c r="F14" s="186">
        <v>904771</v>
      </c>
      <c r="G14" s="186">
        <v>1170180</v>
      </c>
      <c r="H14" s="187" t="s">
        <v>8</v>
      </c>
      <c r="I14" s="186">
        <v>12</v>
      </c>
      <c r="J14" s="186">
        <v>175</v>
      </c>
      <c r="K14" s="188">
        <f t="shared" si="0"/>
        <v>4200</v>
      </c>
      <c r="L14" s="125">
        <v>0</v>
      </c>
      <c r="M14" s="178">
        <f t="shared" si="1"/>
        <v>0</v>
      </c>
      <c r="N14" s="84">
        <f t="shared" si="2"/>
        <v>0</v>
      </c>
      <c r="O14" s="148">
        <v>51.92</v>
      </c>
      <c r="P14" s="135">
        <f t="shared" si="21"/>
        <v>4.3266666666666671</v>
      </c>
      <c r="Q14" s="13">
        <f t="shared" si="3"/>
        <v>3</v>
      </c>
      <c r="R14" s="13">
        <v>0.25</v>
      </c>
      <c r="S14" s="74">
        <f t="shared" si="4"/>
        <v>0.36</v>
      </c>
      <c r="T14" s="74">
        <v>0.03</v>
      </c>
      <c r="U14" s="121">
        <f t="shared" si="22"/>
        <v>0.28000000000000003</v>
      </c>
      <c r="V14" s="121">
        <v>0.28000000000000003</v>
      </c>
      <c r="W14" s="139">
        <v>5.0900000000000007</v>
      </c>
      <c r="X14" s="139">
        <v>4.1900000000000004</v>
      </c>
      <c r="Y14" s="139"/>
      <c r="Z14" s="140">
        <f t="shared" si="5"/>
        <v>0</v>
      </c>
      <c r="AA14" s="141">
        <f t="shared" si="6"/>
        <v>0</v>
      </c>
      <c r="AB14" s="32">
        <f>L14*12*0.355/100</f>
        <v>0</v>
      </c>
      <c r="AC14" s="43"/>
      <c r="AD14" s="44" t="e">
        <f t="shared" si="7"/>
        <v>#DIV/0!</v>
      </c>
      <c r="AE14" s="39">
        <f t="shared" si="8"/>
        <v>0.28000000000000003</v>
      </c>
      <c r="AF14" s="39" t="e">
        <f t="shared" si="23"/>
        <v>#DIV/0!</v>
      </c>
      <c r="AH14" s="175">
        <v>81.2</v>
      </c>
      <c r="AI14" s="175">
        <f t="shared" si="9"/>
        <v>0</v>
      </c>
      <c r="AJ14" s="175" t="e">
        <f t="shared" si="10"/>
        <v>#DIV/0!</v>
      </c>
      <c r="AK14" s="7"/>
      <c r="AL14" s="7">
        <f t="shared" si="11"/>
        <v>0</v>
      </c>
      <c r="AM14" s="7" t="e">
        <f t="shared" si="12"/>
        <v>#DIV/0!</v>
      </c>
      <c r="AN14" s="7">
        <v>0</v>
      </c>
      <c r="AO14" s="142">
        <f t="shared" si="13"/>
        <v>0</v>
      </c>
      <c r="AP14" s="142" t="e">
        <f t="shared" si="14"/>
        <v>#DIV/0!</v>
      </c>
      <c r="AQ14" s="7">
        <f t="shared" si="15"/>
        <v>0</v>
      </c>
      <c r="AR14" s="7" t="e">
        <f t="shared" si="15"/>
        <v>#DIV/0!</v>
      </c>
      <c r="AS14" s="40">
        <f t="shared" si="16"/>
        <v>0</v>
      </c>
      <c r="AT14" s="40">
        <f t="shared" si="24"/>
        <v>0</v>
      </c>
      <c r="AU14" s="7">
        <f t="shared" si="17"/>
        <v>4.3266666666666671</v>
      </c>
      <c r="AV14" s="40">
        <f t="shared" si="18"/>
        <v>4.0466666666666669</v>
      </c>
      <c r="AW14" s="41">
        <f t="shared" si="19"/>
        <v>3.4208432776451914E-2</v>
      </c>
      <c r="AY14" s="150">
        <f t="shared" si="26"/>
        <v>4.1900000000000004</v>
      </c>
      <c r="AZ14" s="151">
        <f t="shared" si="27"/>
        <v>0</v>
      </c>
      <c r="BA14" s="160">
        <f t="shared" si="25"/>
        <v>4.1900000000000004</v>
      </c>
      <c r="BB14" s="164"/>
      <c r="BD14" s="86" t="s">
        <v>106</v>
      </c>
      <c r="BE14" s="86" t="s">
        <v>263</v>
      </c>
      <c r="BF14" s="87" t="s">
        <v>264</v>
      </c>
      <c r="BG14" s="87">
        <v>387000650117</v>
      </c>
      <c r="BH14" s="86" t="s">
        <v>265</v>
      </c>
      <c r="BI14" s="86">
        <v>2222</v>
      </c>
      <c r="BJ14" s="86" t="s">
        <v>266</v>
      </c>
      <c r="BK14" s="86">
        <v>13312250</v>
      </c>
      <c r="BL14" s="86" t="s">
        <v>267</v>
      </c>
      <c r="BM14" s="86" t="s">
        <v>108</v>
      </c>
    </row>
    <row r="15" spans="1:65" ht="14.25" customHeight="1" thickBot="1" x14ac:dyDescent="0.25">
      <c r="A15" s="52">
        <f>0.269*8/100</f>
        <v>2.1520000000000001E-2</v>
      </c>
      <c r="B15" s="27">
        <f>VLOOKUP(F15,Planilha3!D:F,3,0)</f>
        <v>105.66936558057154</v>
      </c>
      <c r="C15" s="47">
        <f t="shared" si="20"/>
        <v>4910.2865046733987</v>
      </c>
      <c r="D15" s="47" t="s">
        <v>74</v>
      </c>
      <c r="E15" s="47" t="s">
        <v>75</v>
      </c>
      <c r="F15" s="20">
        <v>904895</v>
      </c>
      <c r="G15" s="20">
        <v>1208101</v>
      </c>
      <c r="H15" s="11" t="s">
        <v>64</v>
      </c>
      <c r="I15" s="20">
        <v>8</v>
      </c>
      <c r="J15" s="20">
        <v>520</v>
      </c>
      <c r="K15" s="123">
        <f t="shared" ref="K15:K22" si="28">J15*26</f>
        <v>13520</v>
      </c>
      <c r="L15" s="125">
        <v>27040</v>
      </c>
      <c r="M15" s="179">
        <f t="shared" si="1"/>
        <v>52</v>
      </c>
      <c r="N15" s="84">
        <f t="shared" si="2"/>
        <v>2</v>
      </c>
      <c r="O15" s="148">
        <v>31.21</v>
      </c>
      <c r="P15" s="135">
        <f t="shared" si="21"/>
        <v>3.9012500000000001</v>
      </c>
      <c r="Q15" s="13">
        <f t="shared" si="3"/>
        <v>0.8</v>
      </c>
      <c r="R15" s="13">
        <v>0.1</v>
      </c>
      <c r="S15" s="74">
        <f t="shared" si="4"/>
        <v>0.64</v>
      </c>
      <c r="T15" s="74">
        <v>0.08</v>
      </c>
      <c r="U15" s="121">
        <f t="shared" si="22"/>
        <v>0.18</v>
      </c>
      <c r="V15" s="121">
        <v>0.18</v>
      </c>
      <c r="W15" s="36">
        <f>VLOOKUP(F15,'[1]Proposta HNK para Tenda'!$F:$T,15,0)</f>
        <v>4.59</v>
      </c>
      <c r="X15" s="36">
        <f>VLOOKUP(F15,'[1]Proposta HNK para Tenda'!$F:$U,16,0)</f>
        <v>3.99</v>
      </c>
      <c r="Y15" s="36"/>
      <c r="Z15" s="45">
        <f t="shared" si="5"/>
        <v>38937.599999999999</v>
      </c>
      <c r="AA15" s="8">
        <f t="shared" si="6"/>
        <v>843918.4</v>
      </c>
      <c r="AB15" s="32">
        <f>L15*8*0.269/100</f>
        <v>581.9008</v>
      </c>
      <c r="AC15" s="43"/>
      <c r="AD15" s="44">
        <f t="shared" si="7"/>
        <v>0.1905596</v>
      </c>
      <c r="AE15" s="39">
        <f t="shared" si="8"/>
        <v>0.18</v>
      </c>
      <c r="AF15" s="39">
        <f t="shared" si="23"/>
        <v>1.0559600000000002E-2</v>
      </c>
      <c r="AH15" s="175">
        <v>70.84</v>
      </c>
      <c r="AI15" s="175">
        <f t="shared" si="9"/>
        <v>41221.852672000001</v>
      </c>
      <c r="AJ15" s="175">
        <f t="shared" si="10"/>
        <v>0.1905596</v>
      </c>
      <c r="AK15" s="7"/>
      <c r="AL15" s="7">
        <f t="shared" si="11"/>
        <v>0</v>
      </c>
      <c r="AM15" s="7">
        <f t="shared" si="12"/>
        <v>0</v>
      </c>
      <c r="AN15" s="7">
        <v>0</v>
      </c>
      <c r="AO15" s="137">
        <f t="shared" si="13"/>
        <v>0</v>
      </c>
      <c r="AP15" s="137">
        <f t="shared" si="14"/>
        <v>0</v>
      </c>
      <c r="AQ15" s="7">
        <f t="shared" si="15"/>
        <v>41221.852672000001</v>
      </c>
      <c r="AR15" s="7">
        <f t="shared" si="15"/>
        <v>0.1905596</v>
      </c>
      <c r="AS15" s="40">
        <f t="shared" si="16"/>
        <v>38937.599999999999</v>
      </c>
      <c r="AT15" s="40">
        <f t="shared" si="24"/>
        <v>2284.2526720000023</v>
      </c>
      <c r="AU15" s="7">
        <f t="shared" si="17"/>
        <v>3.9012500000000001</v>
      </c>
      <c r="AV15" s="40">
        <f t="shared" si="18"/>
        <v>3.7212499999999999</v>
      </c>
      <c r="AW15" s="41">
        <f t="shared" si="19"/>
        <v>6.7355889724310836E-2</v>
      </c>
      <c r="AY15" s="150">
        <f t="shared" si="26"/>
        <v>3.99</v>
      </c>
      <c r="AZ15" s="151">
        <f t="shared" si="27"/>
        <v>0</v>
      </c>
      <c r="BA15" s="160">
        <f t="shared" si="25"/>
        <v>3.99</v>
      </c>
      <c r="BB15" s="164"/>
      <c r="BD15" s="86" t="s">
        <v>117</v>
      </c>
      <c r="BE15" s="86" t="s">
        <v>263</v>
      </c>
      <c r="BF15" s="87" t="s">
        <v>275</v>
      </c>
      <c r="BG15" s="87" t="s">
        <v>276</v>
      </c>
      <c r="BH15" s="86" t="s">
        <v>277</v>
      </c>
      <c r="BI15" s="86">
        <v>199</v>
      </c>
      <c r="BJ15" s="86" t="s">
        <v>118</v>
      </c>
      <c r="BK15" s="86">
        <v>84043610</v>
      </c>
      <c r="BL15" s="86" t="s">
        <v>117</v>
      </c>
      <c r="BM15" s="86" t="s">
        <v>119</v>
      </c>
    </row>
    <row r="16" spans="1:65" ht="14.25" customHeight="1" thickBot="1" x14ac:dyDescent="0.25">
      <c r="A16" s="51">
        <v>4.2000000000000003E-2</v>
      </c>
      <c r="B16" s="27">
        <f>VLOOKUP(F16,Planilha3!D:F,3,0)</f>
        <v>151.60164053402013</v>
      </c>
      <c r="C16" s="47">
        <f t="shared" si="20"/>
        <v>3609.562869857622</v>
      </c>
      <c r="D16" s="47" t="s">
        <v>74</v>
      </c>
      <c r="E16" s="47" t="s">
        <v>75</v>
      </c>
      <c r="F16" s="20">
        <v>904961</v>
      </c>
      <c r="G16" s="20">
        <v>1193325</v>
      </c>
      <c r="H16" s="11" t="s">
        <v>54</v>
      </c>
      <c r="I16" s="20">
        <v>12</v>
      </c>
      <c r="J16" s="20">
        <v>280</v>
      </c>
      <c r="K16" s="123">
        <f t="shared" si="28"/>
        <v>7280</v>
      </c>
      <c r="L16" s="125">
        <v>109200</v>
      </c>
      <c r="M16" s="179">
        <f t="shared" si="1"/>
        <v>390</v>
      </c>
      <c r="N16" s="84">
        <f t="shared" si="2"/>
        <v>15</v>
      </c>
      <c r="O16" s="148">
        <v>58.04</v>
      </c>
      <c r="P16" s="135">
        <f t="shared" si="21"/>
        <v>4.8366666666666669</v>
      </c>
      <c r="Q16" s="13">
        <f t="shared" si="3"/>
        <v>1.2000000000000002</v>
      </c>
      <c r="R16" s="13">
        <v>0.1</v>
      </c>
      <c r="S16" s="74">
        <f t="shared" si="4"/>
        <v>4.1999999999999993</v>
      </c>
      <c r="T16" s="74">
        <v>0.35</v>
      </c>
      <c r="U16" s="121">
        <f t="shared" si="22"/>
        <v>0.44999999999999996</v>
      </c>
      <c r="V16" s="121">
        <v>0.44999999999999996</v>
      </c>
      <c r="W16" s="36">
        <f>VLOOKUP(F16,'[1]Proposta HNK para Tenda'!$F:$T,15,0)</f>
        <v>5.69</v>
      </c>
      <c r="X16" s="36">
        <f>VLOOKUP(F16,'[1]Proposta HNK para Tenda'!$F:$U,16,0)</f>
        <v>5.2900000000000009</v>
      </c>
      <c r="Y16" s="36"/>
      <c r="Z16" s="45">
        <f t="shared" si="5"/>
        <v>589680</v>
      </c>
      <c r="AA16" s="8">
        <f t="shared" si="6"/>
        <v>6337968</v>
      </c>
      <c r="AB16" s="32">
        <f>L16*12*0.35/100</f>
        <v>4586.3999999999996</v>
      </c>
      <c r="AC16" s="43"/>
      <c r="AD16" s="44">
        <f t="shared" si="7"/>
        <v>0.47900999999999999</v>
      </c>
      <c r="AE16" s="39">
        <f t="shared" si="8"/>
        <v>0.44999999999999996</v>
      </c>
      <c r="AF16" s="39">
        <f t="shared" si="23"/>
        <v>2.9010000000000036E-2</v>
      </c>
      <c r="AH16" s="175">
        <v>33.86</v>
      </c>
      <c r="AI16" s="175">
        <f t="shared" si="9"/>
        <v>155295.50399999999</v>
      </c>
      <c r="AJ16" s="175">
        <f t="shared" si="10"/>
        <v>0.11850999999999999</v>
      </c>
      <c r="AK16" s="7"/>
      <c r="AL16" s="7">
        <f t="shared" si="11"/>
        <v>0</v>
      </c>
      <c r="AM16" s="7">
        <f t="shared" si="12"/>
        <v>0</v>
      </c>
      <c r="AN16" s="174">
        <v>103</v>
      </c>
      <c r="AO16" s="174">
        <f t="shared" si="13"/>
        <v>472399.19999999995</v>
      </c>
      <c r="AP16" s="174">
        <f t="shared" si="14"/>
        <v>0.36049999999999999</v>
      </c>
      <c r="AQ16" s="7">
        <f t="shared" si="15"/>
        <v>627694.70399999991</v>
      </c>
      <c r="AR16" s="7">
        <f t="shared" si="15"/>
        <v>0.47900999999999999</v>
      </c>
      <c r="AS16" s="40">
        <f t="shared" si="16"/>
        <v>589680</v>
      </c>
      <c r="AT16" s="40">
        <f t="shared" si="24"/>
        <v>38014.703999999911</v>
      </c>
      <c r="AU16" s="7">
        <f t="shared" si="17"/>
        <v>4.8366666666666669</v>
      </c>
      <c r="AV16" s="40">
        <f t="shared" si="18"/>
        <v>4.3866666666666676</v>
      </c>
      <c r="AW16" s="41">
        <f t="shared" si="19"/>
        <v>0.17076244486452422</v>
      </c>
      <c r="AY16" s="150">
        <f t="shared" si="26"/>
        <v>5.2900000000000009</v>
      </c>
      <c r="AZ16" s="151">
        <f t="shared" si="27"/>
        <v>0</v>
      </c>
      <c r="BA16" s="160">
        <f t="shared" si="25"/>
        <v>5.2900000000000009</v>
      </c>
      <c r="BB16" s="164"/>
      <c r="BD16" s="86" t="s">
        <v>117</v>
      </c>
      <c r="BE16" s="86" t="s">
        <v>263</v>
      </c>
      <c r="BF16" s="87" t="s">
        <v>275</v>
      </c>
      <c r="BG16" s="87" t="s">
        <v>276</v>
      </c>
      <c r="BH16" s="86" t="s">
        <v>277</v>
      </c>
      <c r="BI16" s="86">
        <v>199</v>
      </c>
      <c r="BJ16" s="86" t="s">
        <v>118</v>
      </c>
      <c r="BK16" s="86">
        <v>84043610</v>
      </c>
      <c r="BL16" s="86" t="s">
        <v>117</v>
      </c>
      <c r="BM16" s="86" t="s">
        <v>119</v>
      </c>
    </row>
    <row r="17" spans="1:65" ht="14.25" customHeight="1" thickBot="1" x14ac:dyDescent="0.25">
      <c r="A17" s="50">
        <v>7.9200000000000007E-2</v>
      </c>
      <c r="B17" s="27">
        <f>VLOOKUP(F17,Planilha3!D:F,3,0)</f>
        <v>143.24875260192064</v>
      </c>
      <c r="C17" s="47">
        <f t="shared" si="20"/>
        <v>1808.6963712363715</v>
      </c>
      <c r="D17" s="47" t="s">
        <v>74</v>
      </c>
      <c r="E17" s="47" t="s">
        <v>75</v>
      </c>
      <c r="F17" s="20">
        <v>903996</v>
      </c>
      <c r="G17" s="20">
        <v>1140139</v>
      </c>
      <c r="H17" s="11" t="s">
        <v>7</v>
      </c>
      <c r="I17" s="20">
        <v>24</v>
      </c>
      <c r="J17" s="20">
        <v>91</v>
      </c>
      <c r="K17" s="123">
        <f t="shared" si="28"/>
        <v>2366</v>
      </c>
      <c r="L17" s="125">
        <v>7098</v>
      </c>
      <c r="M17" s="179">
        <f t="shared" si="1"/>
        <v>78</v>
      </c>
      <c r="N17" s="84">
        <f t="shared" si="2"/>
        <v>3</v>
      </c>
      <c r="O17" s="148">
        <v>142.6</v>
      </c>
      <c r="P17" s="135">
        <f t="shared" si="21"/>
        <v>5.9416666666666664</v>
      </c>
      <c r="Q17" s="13">
        <f t="shared" si="3"/>
        <v>1.2000000000000002</v>
      </c>
      <c r="R17" s="13">
        <v>0.05</v>
      </c>
      <c r="S17" s="74">
        <f t="shared" si="4"/>
        <v>0.24</v>
      </c>
      <c r="T17" s="74">
        <v>0.01</v>
      </c>
      <c r="U17" s="121">
        <f t="shared" si="22"/>
        <v>6.0000000000000005E-2</v>
      </c>
      <c r="V17" s="121">
        <v>6.0000000000000005E-2</v>
      </c>
      <c r="W17" s="36">
        <f>VLOOKUP(F17,'[1]Proposta HNK para Tenda'!$F:$T,15,0)</f>
        <v>6.99</v>
      </c>
      <c r="X17" s="36">
        <f>VLOOKUP(F17,'[1]Proposta HNK para Tenda'!$F:$U,16,0)</f>
        <v>6.5900000000000007</v>
      </c>
      <c r="Y17" s="36"/>
      <c r="Z17" s="45">
        <f t="shared" si="5"/>
        <v>10221.120000000001</v>
      </c>
      <c r="AA17" s="8">
        <f t="shared" si="6"/>
        <v>1012174.7999999999</v>
      </c>
      <c r="AB17" s="32">
        <f>L17*24*0.33/100</f>
        <v>562.16160000000002</v>
      </c>
      <c r="AC17" s="43"/>
      <c r="AD17" s="44">
        <f t="shared" si="7"/>
        <v>6.8508000000000013E-2</v>
      </c>
      <c r="AE17" s="39">
        <f t="shared" si="8"/>
        <v>6.0000000000000005E-2</v>
      </c>
      <c r="AF17" s="39">
        <f t="shared" si="23"/>
        <v>8.5080000000000086E-3</v>
      </c>
      <c r="AH17" s="177">
        <v>20.76</v>
      </c>
      <c r="AI17" s="177">
        <f t="shared" si="9"/>
        <v>11670.474816000002</v>
      </c>
      <c r="AJ17" s="177">
        <f t="shared" si="10"/>
        <v>6.8508000000000013E-2</v>
      </c>
      <c r="AK17" s="7"/>
      <c r="AL17" s="7">
        <f t="shared" si="11"/>
        <v>0</v>
      </c>
      <c r="AM17" s="7">
        <f t="shared" si="12"/>
        <v>0</v>
      </c>
      <c r="AN17" s="7">
        <v>0</v>
      </c>
      <c r="AO17" s="137">
        <f t="shared" si="13"/>
        <v>0</v>
      </c>
      <c r="AP17" s="137">
        <f t="shared" si="14"/>
        <v>0</v>
      </c>
      <c r="AQ17" s="7">
        <f t="shared" si="15"/>
        <v>11670.474816000002</v>
      </c>
      <c r="AR17" s="7">
        <f t="shared" si="15"/>
        <v>6.8508000000000013E-2</v>
      </c>
      <c r="AS17" s="40">
        <f t="shared" si="16"/>
        <v>10221.120000000001</v>
      </c>
      <c r="AT17" s="83">
        <f t="shared" si="24"/>
        <v>1449.3548160000009</v>
      </c>
      <c r="AU17" s="7">
        <f t="shared" si="17"/>
        <v>5.9416666666666664</v>
      </c>
      <c r="AV17" s="40">
        <f t="shared" si="18"/>
        <v>5.8816666666666668</v>
      </c>
      <c r="AW17" s="41">
        <f t="shared" si="19"/>
        <v>0.10748609003540727</v>
      </c>
      <c r="AY17" s="150">
        <f t="shared" si="26"/>
        <v>6.5900000000000007</v>
      </c>
      <c r="AZ17" s="151">
        <f t="shared" si="27"/>
        <v>0</v>
      </c>
      <c r="BA17" s="160">
        <f t="shared" si="25"/>
        <v>6.5900000000000007</v>
      </c>
      <c r="BB17" s="164"/>
      <c r="BD17" s="86" t="s">
        <v>117</v>
      </c>
      <c r="BE17" s="86" t="s">
        <v>263</v>
      </c>
      <c r="BF17" s="87" t="s">
        <v>275</v>
      </c>
      <c r="BG17" s="87" t="s">
        <v>276</v>
      </c>
      <c r="BH17" s="86" t="s">
        <v>277</v>
      </c>
      <c r="BI17" s="86">
        <v>199</v>
      </c>
      <c r="BJ17" s="86" t="s">
        <v>118</v>
      </c>
      <c r="BK17" s="86">
        <v>84043610</v>
      </c>
      <c r="BL17" s="86" t="s">
        <v>117</v>
      </c>
      <c r="BM17" s="86" t="s">
        <v>119</v>
      </c>
    </row>
    <row r="18" spans="1:65" ht="14.25" customHeight="1" thickBot="1" x14ac:dyDescent="0.25">
      <c r="A18" s="50">
        <f>0.269*8/100</f>
        <v>2.1520000000000001E-2</v>
      </c>
      <c r="B18" s="27">
        <f>VLOOKUP(F18,Planilha3!D:F,3,0)</f>
        <v>1756.2216050081772</v>
      </c>
      <c r="C18" s="47">
        <f t="shared" si="20"/>
        <v>81608.810641643926</v>
      </c>
      <c r="D18" s="47" t="s">
        <v>74</v>
      </c>
      <c r="E18" s="47" t="s">
        <v>75</v>
      </c>
      <c r="F18" s="20">
        <v>904721</v>
      </c>
      <c r="G18" s="20">
        <v>1169727</v>
      </c>
      <c r="H18" s="11" t="s">
        <v>6</v>
      </c>
      <c r="I18" s="20">
        <v>8</v>
      </c>
      <c r="J18" s="20">
        <v>520</v>
      </c>
      <c r="K18" s="123">
        <f t="shared" si="28"/>
        <v>13520</v>
      </c>
      <c r="L18" s="125">
        <f>K18*45</f>
        <v>608400</v>
      </c>
      <c r="M18" s="179">
        <f t="shared" si="1"/>
        <v>1170</v>
      </c>
      <c r="N18" s="46">
        <f t="shared" si="2"/>
        <v>45</v>
      </c>
      <c r="O18" s="148">
        <v>31.21</v>
      </c>
      <c r="P18" s="135">
        <f t="shared" si="21"/>
        <v>3.9012500000000001</v>
      </c>
      <c r="Q18" s="13">
        <f t="shared" si="3"/>
        <v>0.8</v>
      </c>
      <c r="R18" s="13">
        <v>0.1</v>
      </c>
      <c r="S18" s="74">
        <f t="shared" si="4"/>
        <v>1.6</v>
      </c>
      <c r="T18" s="74">
        <v>0.2</v>
      </c>
      <c r="U18" s="121">
        <f t="shared" si="22"/>
        <v>0.30000000000000004</v>
      </c>
      <c r="V18" s="198">
        <v>0.4</v>
      </c>
      <c r="W18" s="36">
        <f>VLOOKUP(F18,'[1]Proposta HNK para Tenda'!$F:$T,15,0)</f>
        <v>4.59</v>
      </c>
      <c r="X18" s="36">
        <f>VLOOKUP(F18,'[1]Proposta HNK para Tenda'!$F:$U,16,0)</f>
        <v>3.99</v>
      </c>
      <c r="Y18" s="36"/>
      <c r="Z18" s="194">
        <f t="shared" si="5"/>
        <v>1460160.0000000002</v>
      </c>
      <c r="AA18" s="45">
        <f t="shared" si="6"/>
        <v>18988164</v>
      </c>
      <c r="AB18" s="32">
        <f>L18*8*0.269/100</f>
        <v>13092.768</v>
      </c>
      <c r="AC18" s="43"/>
      <c r="AD18" s="44">
        <f t="shared" si="7"/>
        <v>0.1905596</v>
      </c>
      <c r="AE18" s="39">
        <f t="shared" si="8"/>
        <v>0.30000000000000004</v>
      </c>
      <c r="AF18" s="39">
        <f t="shared" si="23"/>
        <v>-0.10944040000000005</v>
      </c>
      <c r="AH18" s="175">
        <v>70.84</v>
      </c>
      <c r="AI18" s="175">
        <f t="shared" si="9"/>
        <v>927491.68512000004</v>
      </c>
      <c r="AJ18" s="175">
        <f t="shared" si="10"/>
        <v>0.1905596</v>
      </c>
      <c r="AK18" s="7"/>
      <c r="AL18" s="7">
        <f t="shared" si="11"/>
        <v>0</v>
      </c>
      <c r="AM18" s="7">
        <f t="shared" si="12"/>
        <v>0</v>
      </c>
      <c r="AN18" s="7">
        <v>0</v>
      </c>
      <c r="AO18" s="137">
        <f t="shared" si="13"/>
        <v>0</v>
      </c>
      <c r="AP18" s="137">
        <f t="shared" si="14"/>
        <v>0</v>
      </c>
      <c r="AQ18" s="7">
        <f t="shared" si="15"/>
        <v>927491.68512000004</v>
      </c>
      <c r="AR18" s="7">
        <f t="shared" si="15"/>
        <v>0.1905596</v>
      </c>
      <c r="AS18" s="40">
        <f t="shared" si="16"/>
        <v>1460160.0000000002</v>
      </c>
      <c r="AT18" s="83">
        <f t="shared" si="24"/>
        <v>-532668.31488000019</v>
      </c>
      <c r="AU18" s="7">
        <f t="shared" si="17"/>
        <v>3.9012500000000001</v>
      </c>
      <c r="AV18" s="40">
        <f t="shared" si="18"/>
        <v>3.6012499999999998</v>
      </c>
      <c r="AW18" s="41">
        <f t="shared" si="19"/>
        <v>9.7431077694235674E-2</v>
      </c>
      <c r="AY18" s="150">
        <f t="shared" si="26"/>
        <v>3.99</v>
      </c>
      <c r="AZ18" s="151">
        <f t="shared" si="27"/>
        <v>0</v>
      </c>
      <c r="BA18" s="160">
        <f t="shared" si="25"/>
        <v>3.99</v>
      </c>
      <c r="BB18" s="164"/>
      <c r="BD18" s="86" t="s">
        <v>117</v>
      </c>
      <c r="BE18" s="86" t="s">
        <v>263</v>
      </c>
      <c r="BF18" s="87" t="s">
        <v>275</v>
      </c>
      <c r="BG18" s="87" t="s">
        <v>276</v>
      </c>
      <c r="BH18" s="86" t="s">
        <v>277</v>
      </c>
      <c r="BI18" s="86">
        <v>199</v>
      </c>
      <c r="BJ18" s="86" t="s">
        <v>118</v>
      </c>
      <c r="BK18" s="86">
        <v>84043610</v>
      </c>
      <c r="BL18" s="86" t="s">
        <v>117</v>
      </c>
      <c r="BM18" s="86" t="s">
        <v>119</v>
      </c>
    </row>
    <row r="19" spans="1:65" ht="14.25" customHeight="1" thickBot="1" x14ac:dyDescent="0.25">
      <c r="A19" s="51">
        <v>4.2000000000000003E-2</v>
      </c>
      <c r="B19" s="27">
        <f>VLOOKUP(F19,Planilha3!D:F,3,0)</f>
        <v>2524.7199789310725</v>
      </c>
      <c r="C19" s="47">
        <f t="shared" si="20"/>
        <v>60112.380450739816</v>
      </c>
      <c r="D19" s="47" t="s">
        <v>74</v>
      </c>
      <c r="E19" s="47" t="s">
        <v>75</v>
      </c>
      <c r="F19" s="20">
        <v>904932</v>
      </c>
      <c r="G19" s="20">
        <v>1193319</v>
      </c>
      <c r="H19" s="11" t="s">
        <v>55</v>
      </c>
      <c r="I19" s="20">
        <v>12</v>
      </c>
      <c r="J19" s="20">
        <v>280</v>
      </c>
      <c r="K19" s="123">
        <f t="shared" si="28"/>
        <v>7280</v>
      </c>
      <c r="L19" s="125">
        <v>509600</v>
      </c>
      <c r="M19" s="178">
        <f t="shared" si="1"/>
        <v>1820</v>
      </c>
      <c r="N19" s="84">
        <f t="shared" si="2"/>
        <v>70</v>
      </c>
      <c r="O19" s="148">
        <v>58.04</v>
      </c>
      <c r="P19" s="135">
        <f t="shared" si="21"/>
        <v>4.8366666666666669</v>
      </c>
      <c r="Q19" s="13">
        <f t="shared" si="3"/>
        <v>1.2000000000000002</v>
      </c>
      <c r="R19" s="13">
        <v>0.1</v>
      </c>
      <c r="S19" s="74">
        <f t="shared" si="4"/>
        <v>4.1999999999999993</v>
      </c>
      <c r="T19" s="74">
        <v>0.35</v>
      </c>
      <c r="U19" s="121">
        <f t="shared" si="22"/>
        <v>0.44999999999999996</v>
      </c>
      <c r="V19" s="121">
        <v>0.44999999999999996</v>
      </c>
      <c r="W19" s="157">
        <f>VLOOKUP(F19,'[1]Proposta HNK para Tenda'!$F:$T,15,0)</f>
        <v>5.69</v>
      </c>
      <c r="X19" s="157">
        <f>VLOOKUP(F19,'[1]Proposta HNK para Tenda'!$F:$U,16,0)</f>
        <v>5.2900000000000009</v>
      </c>
      <c r="Y19" s="157">
        <v>4.99</v>
      </c>
      <c r="Z19" s="45">
        <f t="shared" si="5"/>
        <v>2751839.9999999995</v>
      </c>
      <c r="AA19" s="8">
        <f t="shared" si="6"/>
        <v>29577184</v>
      </c>
      <c r="AB19" s="32">
        <f>L19*12*0.35/100</f>
        <v>21403.200000000001</v>
      </c>
      <c r="AC19" s="43"/>
      <c r="AD19" s="44">
        <f t="shared" si="7"/>
        <v>0.47901000000000005</v>
      </c>
      <c r="AE19" s="39">
        <f t="shared" si="8"/>
        <v>0.44999999999999996</v>
      </c>
      <c r="AF19" s="39">
        <f t="shared" si="23"/>
        <v>2.9010000000000091E-2</v>
      </c>
      <c r="AH19" s="175">
        <v>33.86</v>
      </c>
      <c r="AI19" s="175">
        <f t="shared" si="9"/>
        <v>724712.35199999996</v>
      </c>
      <c r="AJ19" s="175">
        <f t="shared" si="10"/>
        <v>0.11850999999999999</v>
      </c>
      <c r="AK19" s="7"/>
      <c r="AL19" s="7">
        <f t="shared" si="11"/>
        <v>0</v>
      </c>
      <c r="AM19" s="7">
        <f t="shared" si="12"/>
        <v>0</v>
      </c>
      <c r="AN19" s="174">
        <v>103</v>
      </c>
      <c r="AO19" s="174">
        <f t="shared" si="13"/>
        <v>2204529.6</v>
      </c>
      <c r="AP19" s="174">
        <f t="shared" si="14"/>
        <v>0.36050000000000004</v>
      </c>
      <c r="AQ19" s="7">
        <f t="shared" si="15"/>
        <v>2929241.952</v>
      </c>
      <c r="AR19" s="7">
        <f t="shared" si="15"/>
        <v>0.47901000000000005</v>
      </c>
      <c r="AS19" s="40">
        <f t="shared" si="16"/>
        <v>2751839.9999999995</v>
      </c>
      <c r="AT19" s="83">
        <f t="shared" si="24"/>
        <v>177401.95200000051</v>
      </c>
      <c r="AU19" s="7">
        <f t="shared" si="17"/>
        <v>4.8366666666666669</v>
      </c>
      <c r="AV19" s="40">
        <f t="shared" si="18"/>
        <v>4.3866666666666676</v>
      </c>
      <c r="AW19" s="41">
        <f t="shared" si="19"/>
        <v>0.17076244486452422</v>
      </c>
      <c r="AY19" s="153">
        <f>X19*50%</f>
        <v>2.6450000000000005</v>
      </c>
      <c r="AZ19" s="154">
        <f t="shared" si="27"/>
        <v>2.4950000000000001</v>
      </c>
      <c r="BA19" s="159">
        <f t="shared" si="25"/>
        <v>5.1400000000000006</v>
      </c>
      <c r="BB19" s="163">
        <f>(X19-Y19)/X19</f>
        <v>5.6710775047259104E-2</v>
      </c>
      <c r="BD19" s="86" t="s">
        <v>121</v>
      </c>
      <c r="BE19" s="86" t="s">
        <v>263</v>
      </c>
      <c r="BF19" s="87" t="s">
        <v>268</v>
      </c>
      <c r="BG19" s="87">
        <v>392558326113</v>
      </c>
      <c r="BH19" s="86" t="s">
        <v>269</v>
      </c>
      <c r="BI19" s="86">
        <v>2911</v>
      </c>
      <c r="BJ19" s="86" t="s">
        <v>270</v>
      </c>
      <c r="BK19" s="86">
        <v>12321150</v>
      </c>
      <c r="BL19" s="86" t="s">
        <v>271</v>
      </c>
      <c r="BM19" s="86" t="s">
        <v>108</v>
      </c>
    </row>
    <row r="20" spans="1:65" ht="14.25" customHeight="1" thickBot="1" x14ac:dyDescent="0.25">
      <c r="A20" s="52">
        <f>0.25*24/100</f>
        <v>0.06</v>
      </c>
      <c r="B20" s="27">
        <f>VLOOKUP(F20,Planilha3!D:F,3,0)</f>
        <v>501.62260948177118</v>
      </c>
      <c r="C20" s="47">
        <f t="shared" si="20"/>
        <v>8360.3768246961863</v>
      </c>
      <c r="D20" s="47" t="s">
        <v>74</v>
      </c>
      <c r="E20" s="47" t="s">
        <v>75</v>
      </c>
      <c r="F20" s="20">
        <v>905291</v>
      </c>
      <c r="G20" s="20">
        <v>1016561</v>
      </c>
      <c r="H20" s="11" t="s">
        <v>5</v>
      </c>
      <c r="I20" s="20">
        <v>24</v>
      </c>
      <c r="J20" s="20">
        <v>104</v>
      </c>
      <c r="K20" s="123">
        <f t="shared" si="28"/>
        <v>2704</v>
      </c>
      <c r="L20" s="125">
        <v>24336</v>
      </c>
      <c r="M20" s="179">
        <f t="shared" si="1"/>
        <v>234</v>
      </c>
      <c r="N20" s="46">
        <f t="shared" si="2"/>
        <v>9</v>
      </c>
      <c r="O20" s="148">
        <v>107.92</v>
      </c>
      <c r="P20" s="135">
        <f t="shared" si="21"/>
        <v>4.496666666666667</v>
      </c>
      <c r="Q20" s="13">
        <f t="shared" si="3"/>
        <v>1.2000000000000002</v>
      </c>
      <c r="R20" s="13">
        <v>0.05</v>
      </c>
      <c r="S20" s="74">
        <f t="shared" si="4"/>
        <v>0.72</v>
      </c>
      <c r="T20" s="74">
        <v>0.03</v>
      </c>
      <c r="U20" s="121">
        <f t="shared" si="22"/>
        <v>0.08</v>
      </c>
      <c r="V20" s="121">
        <v>0.08</v>
      </c>
      <c r="W20" s="36">
        <v>5.29</v>
      </c>
      <c r="X20" s="36">
        <v>4.99</v>
      </c>
      <c r="Y20" s="36"/>
      <c r="Z20" s="45">
        <f t="shared" si="5"/>
        <v>46725.120000000003</v>
      </c>
      <c r="AA20" s="45">
        <f t="shared" si="6"/>
        <v>2626341.12</v>
      </c>
      <c r="AB20" s="32">
        <f>L20*24*0.25/100</f>
        <v>1460.16</v>
      </c>
      <c r="AC20" s="43"/>
      <c r="AD20" s="44">
        <f t="shared" si="7"/>
        <v>0.23707499999999998</v>
      </c>
      <c r="AE20" s="39">
        <f t="shared" si="8"/>
        <v>0.08</v>
      </c>
      <c r="AF20" s="39">
        <f t="shared" si="23"/>
        <v>0.15707499999999996</v>
      </c>
      <c r="AH20" s="175">
        <v>35.799999999999997</v>
      </c>
      <c r="AI20" s="175">
        <f t="shared" si="9"/>
        <v>52273.727999999996</v>
      </c>
      <c r="AJ20" s="175">
        <f t="shared" si="10"/>
        <v>8.9499999999999982E-2</v>
      </c>
      <c r="AK20" s="7"/>
      <c r="AL20" s="7">
        <f t="shared" si="11"/>
        <v>0</v>
      </c>
      <c r="AM20" s="7">
        <f t="shared" si="12"/>
        <v>0</v>
      </c>
      <c r="AN20" s="174">
        <v>59.03</v>
      </c>
      <c r="AO20" s="174">
        <f t="shared" si="13"/>
        <v>86193.2448</v>
      </c>
      <c r="AP20" s="174">
        <f t="shared" si="14"/>
        <v>0.14757499999999998</v>
      </c>
      <c r="AQ20" s="7">
        <f t="shared" si="15"/>
        <v>138466.97279999999</v>
      </c>
      <c r="AR20" s="7">
        <f t="shared" si="15"/>
        <v>0.23707499999999998</v>
      </c>
      <c r="AS20" s="40">
        <f t="shared" si="16"/>
        <v>46725.120000000003</v>
      </c>
      <c r="AT20" s="83">
        <f t="shared" si="24"/>
        <v>91741.852799999993</v>
      </c>
      <c r="AU20" s="7">
        <f t="shared" si="17"/>
        <v>4.496666666666667</v>
      </c>
      <c r="AV20" s="40">
        <f t="shared" si="18"/>
        <v>4.416666666666667</v>
      </c>
      <c r="AW20" s="41">
        <f t="shared" si="19"/>
        <v>0.11489645958583833</v>
      </c>
      <c r="AY20" s="150">
        <f t="shared" ref="AY20:AY47" si="29">X20*100%</f>
        <v>4.99</v>
      </c>
      <c r="AZ20" s="151">
        <f t="shared" si="27"/>
        <v>0</v>
      </c>
      <c r="BA20" s="160">
        <f t="shared" si="25"/>
        <v>4.99</v>
      </c>
      <c r="BB20" s="164"/>
      <c r="BD20" s="86" t="s">
        <v>121</v>
      </c>
      <c r="BE20" s="86" t="s">
        <v>263</v>
      </c>
      <c r="BF20" s="87" t="s">
        <v>268</v>
      </c>
      <c r="BG20" s="87">
        <v>392558326113</v>
      </c>
      <c r="BH20" s="86" t="s">
        <v>269</v>
      </c>
      <c r="BI20" s="86">
        <v>2911</v>
      </c>
      <c r="BJ20" s="86" t="s">
        <v>270</v>
      </c>
      <c r="BK20" s="86">
        <v>12321150</v>
      </c>
      <c r="BL20" s="86" t="s">
        <v>271</v>
      </c>
      <c r="BM20" s="86" t="s">
        <v>108</v>
      </c>
    </row>
    <row r="21" spans="1:65" ht="14.25" customHeight="1" thickBot="1" x14ac:dyDescent="0.25">
      <c r="A21" s="50">
        <v>7.9200000000000007E-2</v>
      </c>
      <c r="B21" s="27">
        <f>VLOOKUP(F21,Planilha3!D:F,3,0)</f>
        <v>1279.3006982621212</v>
      </c>
      <c r="C21" s="47">
        <f t="shared" si="20"/>
        <v>16152.7865942187</v>
      </c>
      <c r="D21" s="47" t="s">
        <v>74</v>
      </c>
      <c r="E21" s="47" t="s">
        <v>75</v>
      </c>
      <c r="F21" s="20">
        <v>903478</v>
      </c>
      <c r="G21" s="20">
        <v>1045807</v>
      </c>
      <c r="H21" s="11" t="s">
        <v>4</v>
      </c>
      <c r="I21" s="20">
        <v>24</v>
      </c>
      <c r="J21" s="20">
        <v>91</v>
      </c>
      <c r="K21" s="123">
        <f t="shared" si="28"/>
        <v>2366</v>
      </c>
      <c r="L21" s="125">
        <v>70980</v>
      </c>
      <c r="M21" s="179">
        <f t="shared" si="1"/>
        <v>780</v>
      </c>
      <c r="N21" s="84">
        <f t="shared" si="2"/>
        <v>30</v>
      </c>
      <c r="O21" s="148">
        <v>142.6</v>
      </c>
      <c r="P21" s="135">
        <f t="shared" si="21"/>
        <v>5.9416666666666664</v>
      </c>
      <c r="Q21" s="13">
        <f t="shared" si="3"/>
        <v>1.2000000000000002</v>
      </c>
      <c r="R21" s="13">
        <v>0.05</v>
      </c>
      <c r="S21" s="74">
        <f t="shared" si="4"/>
        <v>0.24</v>
      </c>
      <c r="T21" s="74">
        <v>0.01</v>
      </c>
      <c r="U21" s="121">
        <f t="shared" si="22"/>
        <v>6.0000000000000005E-2</v>
      </c>
      <c r="V21" s="121">
        <v>6.0000000000000005E-2</v>
      </c>
      <c r="W21" s="36">
        <f>VLOOKUP(F21,'[1]Proposta HNK para Tenda'!$F:$T,15,0)</f>
        <v>6.99</v>
      </c>
      <c r="X21" s="36">
        <f>VLOOKUP(F21,'[1]Proposta HNK para Tenda'!$F:$U,16,0)</f>
        <v>6.5900000000000007</v>
      </c>
      <c r="Y21" s="36"/>
      <c r="Z21" s="45">
        <f t="shared" si="5"/>
        <v>102211.20000000001</v>
      </c>
      <c r="AA21" s="8">
        <f t="shared" si="6"/>
        <v>10121748</v>
      </c>
      <c r="AB21" s="32">
        <f>L21*24*0.33/100</f>
        <v>5621.616</v>
      </c>
      <c r="AC21" s="43"/>
      <c r="AD21" s="44">
        <f t="shared" si="7"/>
        <v>6.8507999999999999E-2</v>
      </c>
      <c r="AE21" s="39">
        <f t="shared" si="8"/>
        <v>6.0000000000000005E-2</v>
      </c>
      <c r="AF21" s="39">
        <f t="shared" si="23"/>
        <v>8.5079999999999947E-3</v>
      </c>
      <c r="AH21" s="177">
        <v>20.76</v>
      </c>
      <c r="AI21" s="177">
        <f t="shared" si="9"/>
        <v>116704.74816</v>
      </c>
      <c r="AJ21" s="177">
        <f t="shared" si="10"/>
        <v>6.8507999999999999E-2</v>
      </c>
      <c r="AK21" s="7"/>
      <c r="AL21" s="7">
        <f t="shared" si="11"/>
        <v>0</v>
      </c>
      <c r="AM21" s="7">
        <f t="shared" si="12"/>
        <v>0</v>
      </c>
      <c r="AN21" s="7">
        <v>0</v>
      </c>
      <c r="AO21" s="137">
        <f t="shared" si="13"/>
        <v>0</v>
      </c>
      <c r="AP21" s="137">
        <f t="shared" si="14"/>
        <v>0</v>
      </c>
      <c r="AQ21" s="7">
        <f t="shared" si="15"/>
        <v>116704.74816</v>
      </c>
      <c r="AR21" s="7">
        <f t="shared" si="15"/>
        <v>6.8507999999999999E-2</v>
      </c>
      <c r="AS21" s="40">
        <f t="shared" si="16"/>
        <v>102211.20000000001</v>
      </c>
      <c r="AT21" s="83">
        <f t="shared" si="24"/>
        <v>14493.548159999991</v>
      </c>
      <c r="AU21" s="7">
        <f t="shared" si="17"/>
        <v>5.9416666666666664</v>
      </c>
      <c r="AV21" s="40">
        <f t="shared" si="18"/>
        <v>5.8816666666666668</v>
      </c>
      <c r="AW21" s="41">
        <f t="shared" si="19"/>
        <v>0.10748609003540727</v>
      </c>
      <c r="AY21" s="150">
        <f t="shared" si="29"/>
        <v>6.5900000000000007</v>
      </c>
      <c r="AZ21" s="151">
        <f t="shared" si="27"/>
        <v>0</v>
      </c>
      <c r="BA21" s="160">
        <f t="shared" si="25"/>
        <v>6.5900000000000007</v>
      </c>
      <c r="BB21" s="164"/>
      <c r="BD21" s="86" t="s">
        <v>120</v>
      </c>
      <c r="BE21" s="86" t="s">
        <v>263</v>
      </c>
      <c r="BF21" s="87" t="s">
        <v>272</v>
      </c>
      <c r="BG21" s="87">
        <v>181661963118</v>
      </c>
      <c r="BH21" s="86" t="s">
        <v>273</v>
      </c>
      <c r="BI21" s="86">
        <v>701</v>
      </c>
      <c r="BJ21" s="86" t="s">
        <v>274</v>
      </c>
      <c r="BK21" s="86">
        <v>14808080</v>
      </c>
      <c r="BL21" s="86" t="s">
        <v>120</v>
      </c>
      <c r="BM21" s="86" t="s">
        <v>108</v>
      </c>
    </row>
    <row r="22" spans="1:65" ht="14.25" customHeight="1" thickBot="1" x14ac:dyDescent="0.25">
      <c r="A22" s="50">
        <v>7.1999999999999995E-2</v>
      </c>
      <c r="B22" s="27">
        <f>VLOOKUP(F22,Planilha3!D:F,3,0)</f>
        <v>156.38562661667979</v>
      </c>
      <c r="C22" s="47">
        <f t="shared" si="20"/>
        <v>2172.0225918983306</v>
      </c>
      <c r="D22" s="47" t="s">
        <v>74</v>
      </c>
      <c r="E22" s="47" t="s">
        <v>75</v>
      </c>
      <c r="F22" s="20">
        <v>903480</v>
      </c>
      <c r="G22" s="20">
        <v>99187</v>
      </c>
      <c r="H22" s="11" t="s">
        <v>3</v>
      </c>
      <c r="I22" s="20">
        <v>12</v>
      </c>
      <c r="J22" s="20">
        <v>96</v>
      </c>
      <c r="K22" s="123">
        <f t="shared" si="28"/>
        <v>2496</v>
      </c>
      <c r="L22" s="125">
        <v>2496</v>
      </c>
      <c r="M22" s="179">
        <f t="shared" si="1"/>
        <v>26</v>
      </c>
      <c r="N22" s="84">
        <f t="shared" si="2"/>
        <v>1</v>
      </c>
      <c r="O22" s="148">
        <v>137.6</v>
      </c>
      <c r="P22" s="135">
        <f t="shared" si="21"/>
        <v>11.466666666666667</v>
      </c>
      <c r="Q22" s="9">
        <f t="shared" si="3"/>
        <v>0</v>
      </c>
      <c r="R22" s="9">
        <v>0</v>
      </c>
      <c r="S22" s="29">
        <f t="shared" si="4"/>
        <v>0</v>
      </c>
      <c r="T22" s="29">
        <v>0</v>
      </c>
      <c r="U22" s="121">
        <f t="shared" si="22"/>
        <v>0</v>
      </c>
      <c r="V22" s="121">
        <v>0</v>
      </c>
      <c r="W22" s="36">
        <f>VLOOKUP(F22,'[1]Proposta HNK para Tenda'!$F:$T,15,0)</f>
        <v>13.49</v>
      </c>
      <c r="X22" s="36">
        <f>VLOOKUP(F22,'[1]Proposta HNK para Tenda'!$F:$U,16,0)</f>
        <v>13.49</v>
      </c>
      <c r="Y22" s="36"/>
      <c r="Z22" s="45">
        <f t="shared" si="5"/>
        <v>0</v>
      </c>
      <c r="AA22" s="8">
        <f t="shared" si="6"/>
        <v>343449.59999999998</v>
      </c>
      <c r="AB22" s="32">
        <f>L22*12*0.6/100</f>
        <v>179.71200000000002</v>
      </c>
      <c r="AC22" s="43"/>
      <c r="AD22" s="44">
        <f t="shared" si="7"/>
        <v>0</v>
      </c>
      <c r="AE22" s="39">
        <f t="shared" si="8"/>
        <v>0</v>
      </c>
      <c r="AF22" s="39">
        <f t="shared" si="23"/>
        <v>0</v>
      </c>
      <c r="AH22" s="137">
        <v>0</v>
      </c>
      <c r="AI22" s="137">
        <f t="shared" si="9"/>
        <v>0</v>
      </c>
      <c r="AJ22" s="137">
        <f t="shared" si="10"/>
        <v>0</v>
      </c>
      <c r="AK22" s="7"/>
      <c r="AL22" s="7">
        <f t="shared" si="11"/>
        <v>0</v>
      </c>
      <c r="AM22" s="7">
        <f t="shared" si="12"/>
        <v>0</v>
      </c>
      <c r="AN22" s="7">
        <v>0</v>
      </c>
      <c r="AO22" s="137">
        <f t="shared" si="13"/>
        <v>0</v>
      </c>
      <c r="AP22" s="137">
        <f t="shared" si="14"/>
        <v>0</v>
      </c>
      <c r="AQ22" s="7">
        <f t="shared" si="15"/>
        <v>0</v>
      </c>
      <c r="AR22" s="7">
        <f t="shared" si="15"/>
        <v>0</v>
      </c>
      <c r="AS22" s="40">
        <f t="shared" si="16"/>
        <v>0</v>
      </c>
      <c r="AT22" s="83">
        <f t="shared" si="24"/>
        <v>0</v>
      </c>
      <c r="AU22" s="7">
        <f t="shared" si="17"/>
        <v>11.466666666666667</v>
      </c>
      <c r="AV22" s="40">
        <f t="shared" si="18"/>
        <v>11.466666666666667</v>
      </c>
      <c r="AW22" s="41">
        <f t="shared" si="19"/>
        <v>0.14998764516926119</v>
      </c>
      <c r="AY22" s="150">
        <f t="shared" si="29"/>
        <v>13.49</v>
      </c>
      <c r="AZ22" s="151">
        <f t="shared" si="27"/>
        <v>0</v>
      </c>
      <c r="BA22" s="160">
        <f t="shared" si="25"/>
        <v>13.49</v>
      </c>
      <c r="BB22" s="164"/>
      <c r="BD22" s="86" t="s">
        <v>121</v>
      </c>
      <c r="BE22" s="86" t="s">
        <v>263</v>
      </c>
      <c r="BF22" s="87" t="s">
        <v>268</v>
      </c>
      <c r="BG22" s="87">
        <v>392558326113</v>
      </c>
      <c r="BH22" s="86" t="s">
        <v>269</v>
      </c>
      <c r="BI22" s="86">
        <v>2911</v>
      </c>
      <c r="BJ22" s="86" t="s">
        <v>270</v>
      </c>
      <c r="BK22" s="86">
        <v>12321150</v>
      </c>
      <c r="BL22" s="86" t="s">
        <v>271</v>
      </c>
      <c r="BM22" s="86" t="s">
        <v>108</v>
      </c>
    </row>
    <row r="23" spans="1:65" ht="14.25" customHeight="1" thickBot="1" x14ac:dyDescent="0.25">
      <c r="A23" s="50">
        <v>7.9200000000000007E-2</v>
      </c>
      <c r="B23" s="27">
        <v>26</v>
      </c>
      <c r="C23" s="47">
        <f t="shared" si="20"/>
        <v>328.28282828282823</v>
      </c>
      <c r="D23" s="47" t="s">
        <v>74</v>
      </c>
      <c r="E23" s="47" t="s">
        <v>78</v>
      </c>
      <c r="F23" s="186">
        <v>904701</v>
      </c>
      <c r="G23" s="186">
        <v>1022426</v>
      </c>
      <c r="H23" s="187" t="s">
        <v>60</v>
      </c>
      <c r="I23" s="186">
        <v>24</v>
      </c>
      <c r="J23" s="186">
        <v>91</v>
      </c>
      <c r="K23" s="188">
        <f>J23*24</f>
        <v>2184</v>
      </c>
      <c r="L23" s="125">
        <f>K23*2</f>
        <v>4368</v>
      </c>
      <c r="M23" s="179">
        <f t="shared" si="1"/>
        <v>48</v>
      </c>
      <c r="N23" s="84">
        <f t="shared" si="2"/>
        <v>2</v>
      </c>
      <c r="O23" s="148">
        <v>122.2</v>
      </c>
      <c r="P23" s="135">
        <f t="shared" si="21"/>
        <v>5.0916666666666668</v>
      </c>
      <c r="Q23" s="13">
        <f t="shared" si="3"/>
        <v>1.44</v>
      </c>
      <c r="R23" s="13">
        <v>0.06</v>
      </c>
      <c r="S23" s="74">
        <f t="shared" si="4"/>
        <v>1.2000000000000002</v>
      </c>
      <c r="T23" s="74">
        <v>0.05</v>
      </c>
      <c r="U23" s="121">
        <f t="shared" si="22"/>
        <v>0.11</v>
      </c>
      <c r="V23" s="121">
        <v>0.11</v>
      </c>
      <c r="W23" s="36">
        <v>5.49</v>
      </c>
      <c r="X23" s="36">
        <v>5.09</v>
      </c>
      <c r="Y23" s="36"/>
      <c r="Z23" s="45">
        <f t="shared" si="5"/>
        <v>11531.52</v>
      </c>
      <c r="AA23" s="8">
        <f t="shared" si="6"/>
        <v>533769.6</v>
      </c>
      <c r="AB23" s="32">
        <f>L23*24*0.33/100</f>
        <v>345.94560000000007</v>
      </c>
      <c r="AC23" s="43"/>
      <c r="AD23" s="44">
        <f t="shared" si="7"/>
        <v>0.11949300000000003</v>
      </c>
      <c r="AE23" s="39">
        <f t="shared" si="8"/>
        <v>0.11</v>
      </c>
      <c r="AF23" s="39">
        <f t="shared" si="23"/>
        <v>9.4930000000000292E-3</v>
      </c>
      <c r="AH23" s="175">
        <v>36.21</v>
      </c>
      <c r="AI23" s="175">
        <f t="shared" si="9"/>
        <v>12526.690176000004</v>
      </c>
      <c r="AJ23" s="175">
        <f t="shared" si="10"/>
        <v>0.11949300000000003</v>
      </c>
      <c r="AK23" s="7"/>
      <c r="AL23" s="7">
        <f t="shared" si="11"/>
        <v>0</v>
      </c>
      <c r="AM23" s="7">
        <f t="shared" si="12"/>
        <v>0</v>
      </c>
      <c r="AN23" s="7">
        <v>0</v>
      </c>
      <c r="AO23" s="137">
        <f t="shared" si="13"/>
        <v>0</v>
      </c>
      <c r="AP23" s="137">
        <f t="shared" si="14"/>
        <v>0</v>
      </c>
      <c r="AQ23" s="7">
        <f t="shared" si="15"/>
        <v>12526.690176000004</v>
      </c>
      <c r="AR23" s="7">
        <f t="shared" si="15"/>
        <v>0.11949300000000003</v>
      </c>
      <c r="AS23" s="40">
        <f t="shared" si="16"/>
        <v>11531.52</v>
      </c>
      <c r="AT23" s="40">
        <f t="shared" si="24"/>
        <v>995.17017600000327</v>
      </c>
      <c r="AU23" s="7">
        <f t="shared" si="17"/>
        <v>5.0916666666666668</v>
      </c>
      <c r="AV23" s="40">
        <f t="shared" si="18"/>
        <v>4.9816666666666674</v>
      </c>
      <c r="AW23" s="41">
        <f t="shared" si="19"/>
        <v>2.1283562540929765E-2</v>
      </c>
      <c r="AY23" s="150">
        <f t="shared" si="29"/>
        <v>5.09</v>
      </c>
      <c r="AZ23" s="151">
        <f t="shared" si="27"/>
        <v>0</v>
      </c>
      <c r="BA23" s="160">
        <f t="shared" si="25"/>
        <v>5.09</v>
      </c>
      <c r="BB23" s="164"/>
      <c r="BD23" s="86" t="s">
        <v>121</v>
      </c>
      <c r="BE23" s="86" t="s">
        <v>263</v>
      </c>
      <c r="BF23" s="87" t="s">
        <v>268</v>
      </c>
      <c r="BG23" s="87">
        <v>392558326113</v>
      </c>
      <c r="BH23" s="86" t="s">
        <v>269</v>
      </c>
      <c r="BI23" s="86">
        <v>2911</v>
      </c>
      <c r="BJ23" s="86" t="s">
        <v>270</v>
      </c>
      <c r="BK23" s="86">
        <v>12321150</v>
      </c>
      <c r="BL23" s="86" t="s">
        <v>271</v>
      </c>
      <c r="BM23" s="86" t="s">
        <v>108</v>
      </c>
    </row>
    <row r="24" spans="1:65" ht="14.25" customHeight="1" thickBot="1" x14ac:dyDescent="0.25">
      <c r="A24" s="50">
        <v>7.9200000000000007E-2</v>
      </c>
      <c r="B24" s="27">
        <v>26</v>
      </c>
      <c r="C24" s="47">
        <f t="shared" si="20"/>
        <v>328.28282828282823</v>
      </c>
      <c r="D24" s="47" t="s">
        <v>74</v>
      </c>
      <c r="E24" s="47" t="s">
        <v>78</v>
      </c>
      <c r="F24" s="186" t="s">
        <v>253</v>
      </c>
      <c r="G24" s="186">
        <v>1228753</v>
      </c>
      <c r="H24" s="187" t="s">
        <v>246</v>
      </c>
      <c r="I24" s="186">
        <v>24</v>
      </c>
      <c r="J24" s="186">
        <v>91</v>
      </c>
      <c r="K24" s="188">
        <f>J24*24</f>
        <v>2184</v>
      </c>
      <c r="L24" s="125">
        <f>K24*1</f>
        <v>2184</v>
      </c>
      <c r="M24" s="179">
        <f t="shared" si="1"/>
        <v>24</v>
      </c>
      <c r="N24" s="84">
        <f t="shared" si="2"/>
        <v>1</v>
      </c>
      <c r="O24" s="148">
        <v>122.2</v>
      </c>
      <c r="P24" s="135">
        <f t="shared" si="21"/>
        <v>5.0916666666666668</v>
      </c>
      <c r="Q24" s="13">
        <f t="shared" si="3"/>
        <v>1.44</v>
      </c>
      <c r="R24" s="13">
        <v>0.06</v>
      </c>
      <c r="S24" s="74">
        <f t="shared" si="4"/>
        <v>1.2000000000000002</v>
      </c>
      <c r="T24" s="74">
        <v>0.05</v>
      </c>
      <c r="U24" s="121">
        <f t="shared" si="22"/>
        <v>0.11</v>
      </c>
      <c r="V24" s="121">
        <v>0.11</v>
      </c>
      <c r="W24" s="36">
        <v>5.99</v>
      </c>
      <c r="X24" s="36">
        <v>5.7900000000000009</v>
      </c>
      <c r="Y24" s="36"/>
      <c r="Z24" s="45">
        <f t="shared" si="5"/>
        <v>5765.76</v>
      </c>
      <c r="AA24" s="8">
        <f t="shared" si="6"/>
        <v>266884.8</v>
      </c>
      <c r="AB24" s="32">
        <f>L24*24*0.33/100</f>
        <v>172.97280000000003</v>
      </c>
      <c r="AC24" s="43"/>
      <c r="AD24" s="44">
        <f t="shared" si="7"/>
        <v>0.11949300000000003</v>
      </c>
      <c r="AE24" s="39">
        <f t="shared" si="8"/>
        <v>0.11</v>
      </c>
      <c r="AF24" s="39">
        <f t="shared" si="23"/>
        <v>9.4930000000000292E-3</v>
      </c>
      <c r="AH24" s="175">
        <v>36.21</v>
      </c>
      <c r="AI24" s="175">
        <f t="shared" si="9"/>
        <v>6263.3450880000019</v>
      </c>
      <c r="AJ24" s="175">
        <f t="shared" si="10"/>
        <v>0.11949300000000003</v>
      </c>
      <c r="AK24" s="7"/>
      <c r="AL24" s="7">
        <f t="shared" si="11"/>
        <v>0</v>
      </c>
      <c r="AM24" s="7">
        <f t="shared" si="12"/>
        <v>0</v>
      </c>
      <c r="AN24" s="7">
        <v>0</v>
      </c>
      <c r="AO24" s="137">
        <f t="shared" si="13"/>
        <v>0</v>
      </c>
      <c r="AP24" s="137">
        <f t="shared" si="14"/>
        <v>0</v>
      </c>
      <c r="AQ24" s="7">
        <f t="shared" si="15"/>
        <v>6263.3450880000019</v>
      </c>
      <c r="AR24" s="7">
        <f t="shared" si="15"/>
        <v>0.11949300000000003</v>
      </c>
      <c r="AS24" s="40">
        <f t="shared" si="16"/>
        <v>5765.76</v>
      </c>
      <c r="AT24" s="40">
        <f t="shared" si="24"/>
        <v>497.58508800000163</v>
      </c>
      <c r="AU24" s="7">
        <f t="shared" si="17"/>
        <v>5.0916666666666668</v>
      </c>
      <c r="AV24" s="40">
        <f t="shared" si="18"/>
        <v>4.9816666666666674</v>
      </c>
      <c r="AW24" s="41">
        <f t="shared" si="19"/>
        <v>0.13960852043753599</v>
      </c>
      <c r="AY24" s="150">
        <f t="shared" si="29"/>
        <v>5.7900000000000009</v>
      </c>
      <c r="AZ24" s="151">
        <f t="shared" si="27"/>
        <v>0</v>
      </c>
      <c r="BA24" s="160">
        <f t="shared" si="25"/>
        <v>5.7900000000000009</v>
      </c>
      <c r="BB24" s="164"/>
      <c r="BD24" s="86" t="s">
        <v>121</v>
      </c>
      <c r="BE24" s="86" t="s">
        <v>263</v>
      </c>
      <c r="BF24" s="87" t="s">
        <v>268</v>
      </c>
      <c r="BG24" s="87">
        <v>392558326113</v>
      </c>
      <c r="BH24" s="86" t="s">
        <v>269</v>
      </c>
      <c r="BI24" s="86">
        <v>2911</v>
      </c>
      <c r="BJ24" s="86" t="s">
        <v>270</v>
      </c>
      <c r="BK24" s="86">
        <v>12321150</v>
      </c>
      <c r="BL24" s="86" t="s">
        <v>271</v>
      </c>
      <c r="BM24" s="86" t="s">
        <v>108</v>
      </c>
    </row>
    <row r="25" spans="1:65" ht="14.25" customHeight="1" thickBot="1" x14ac:dyDescent="0.25">
      <c r="A25" s="52">
        <f>5*2/100</f>
        <v>0.1</v>
      </c>
      <c r="B25" s="27">
        <f>VLOOKUP(F25,Planilha3!D:F,3,0)</f>
        <v>282.36335043220521</v>
      </c>
      <c r="C25" s="47">
        <f t="shared" si="20"/>
        <v>2823.633504322052</v>
      </c>
      <c r="D25" s="47" t="s">
        <v>74</v>
      </c>
      <c r="E25" s="47" t="s">
        <v>75</v>
      </c>
      <c r="F25" s="20">
        <v>903483</v>
      </c>
      <c r="G25" s="20">
        <v>75013</v>
      </c>
      <c r="H25" s="11" t="s">
        <v>0</v>
      </c>
      <c r="I25" s="20">
        <v>2</v>
      </c>
      <c r="J25" s="20">
        <v>90</v>
      </c>
      <c r="K25" s="123">
        <f>J25*26</f>
        <v>2340</v>
      </c>
      <c r="L25" s="125">
        <v>9360</v>
      </c>
      <c r="M25" s="179">
        <f t="shared" si="1"/>
        <v>104</v>
      </c>
      <c r="N25" s="84">
        <f t="shared" si="2"/>
        <v>4</v>
      </c>
      <c r="O25" s="148">
        <v>177.63</v>
      </c>
      <c r="P25" s="135">
        <f t="shared" si="21"/>
        <v>88.814999999999998</v>
      </c>
      <c r="Q25" s="9">
        <f t="shared" si="3"/>
        <v>0</v>
      </c>
      <c r="R25" s="9">
        <v>0</v>
      </c>
      <c r="S25" s="29">
        <f t="shared" si="4"/>
        <v>0</v>
      </c>
      <c r="T25" s="29">
        <v>0</v>
      </c>
      <c r="U25" s="121">
        <f t="shared" si="22"/>
        <v>0</v>
      </c>
      <c r="V25" s="121">
        <v>0</v>
      </c>
      <c r="W25" s="36">
        <f>VLOOKUP(F25,'[1]Proposta HNK para Tenda'!$F:$T,15,0)</f>
        <v>113.99</v>
      </c>
      <c r="X25" s="36">
        <f>VLOOKUP(F25,'[1]Proposta HNK para Tenda'!$F:$U,16,0)</f>
        <v>113.99</v>
      </c>
      <c r="Y25" s="36"/>
      <c r="Z25" s="45">
        <f t="shared" si="5"/>
        <v>0</v>
      </c>
      <c r="AA25" s="8">
        <f t="shared" si="6"/>
        <v>1662616.8</v>
      </c>
      <c r="AB25" s="32">
        <f>L25*2*5/100</f>
        <v>936</v>
      </c>
      <c r="AC25" s="43"/>
      <c r="AD25" s="44">
        <f t="shared" si="7"/>
        <v>0</v>
      </c>
      <c r="AE25" s="39">
        <f t="shared" si="8"/>
        <v>0</v>
      </c>
      <c r="AF25" s="39">
        <f t="shared" si="23"/>
        <v>0</v>
      </c>
      <c r="AH25" s="137">
        <v>0</v>
      </c>
      <c r="AI25" s="137">
        <f t="shared" si="9"/>
        <v>0</v>
      </c>
      <c r="AJ25" s="137">
        <f t="shared" si="10"/>
        <v>0</v>
      </c>
      <c r="AK25" s="7"/>
      <c r="AL25" s="7">
        <f t="shared" si="11"/>
        <v>0</v>
      </c>
      <c r="AM25" s="7">
        <f t="shared" si="12"/>
        <v>0</v>
      </c>
      <c r="AN25" s="7">
        <v>0</v>
      </c>
      <c r="AO25" s="137">
        <f t="shared" si="13"/>
        <v>0</v>
      </c>
      <c r="AP25" s="137">
        <f t="shared" si="14"/>
        <v>0</v>
      </c>
      <c r="AQ25" s="7">
        <f t="shared" si="15"/>
        <v>0</v>
      </c>
      <c r="AR25" s="7">
        <f t="shared" si="15"/>
        <v>0</v>
      </c>
      <c r="AS25" s="40">
        <f t="shared" si="16"/>
        <v>0</v>
      </c>
      <c r="AT25" s="40">
        <f t="shared" si="24"/>
        <v>0</v>
      </c>
      <c r="AU25" s="7">
        <f t="shared" si="17"/>
        <v>88.814999999999998</v>
      </c>
      <c r="AV25" s="40">
        <f t="shared" si="18"/>
        <v>88.814999999999998</v>
      </c>
      <c r="AW25" s="41">
        <f t="shared" si="19"/>
        <v>0.22085270637775242</v>
      </c>
      <c r="AY25" s="150">
        <f t="shared" si="29"/>
        <v>113.99</v>
      </c>
      <c r="AZ25" s="151">
        <f t="shared" si="27"/>
        <v>0</v>
      </c>
      <c r="BA25" s="160">
        <f t="shared" si="25"/>
        <v>113.99</v>
      </c>
      <c r="BB25" s="164"/>
      <c r="BD25" s="86" t="s">
        <v>117</v>
      </c>
      <c r="BE25" s="86" t="s">
        <v>263</v>
      </c>
      <c r="BF25" s="87" t="s">
        <v>275</v>
      </c>
      <c r="BG25" s="87" t="s">
        <v>276</v>
      </c>
      <c r="BH25" s="86" t="s">
        <v>277</v>
      </c>
      <c r="BI25" s="86">
        <v>199</v>
      </c>
      <c r="BJ25" s="86" t="s">
        <v>118</v>
      </c>
      <c r="BK25" s="86">
        <v>84043610</v>
      </c>
      <c r="BL25" s="86" t="s">
        <v>117</v>
      </c>
      <c r="BM25" s="86" t="s">
        <v>119</v>
      </c>
    </row>
    <row r="26" spans="1:65" ht="14.25" customHeight="1" thickBot="1" x14ac:dyDescent="0.25">
      <c r="A26" s="52">
        <f>0.355*6/100</f>
        <v>2.1299999999999999E-2</v>
      </c>
      <c r="B26" s="27"/>
      <c r="C26" s="47">
        <f t="shared" si="20"/>
        <v>0</v>
      </c>
      <c r="D26" s="47" t="s">
        <v>74</v>
      </c>
      <c r="E26" s="47" t="s">
        <v>141</v>
      </c>
      <c r="F26" s="189" t="s">
        <v>252</v>
      </c>
      <c r="G26" s="189">
        <v>1228751</v>
      </c>
      <c r="H26" s="187" t="s">
        <v>254</v>
      </c>
      <c r="I26" s="186">
        <v>6</v>
      </c>
      <c r="J26" s="186">
        <v>350</v>
      </c>
      <c r="K26" s="188">
        <f t="shared" ref="K26:K28" si="30">J26*26</f>
        <v>9100</v>
      </c>
      <c r="L26" s="196">
        <f>J26*6</f>
        <v>2100</v>
      </c>
      <c r="M26" s="179">
        <f t="shared" si="1"/>
        <v>6</v>
      </c>
      <c r="N26" s="84">
        <f t="shared" si="2"/>
        <v>0.23076923076923078</v>
      </c>
      <c r="O26" s="148">
        <v>33.07</v>
      </c>
      <c r="P26" s="135">
        <f t="shared" si="21"/>
        <v>5.5116666666666667</v>
      </c>
      <c r="Q26" s="9">
        <f t="shared" si="3"/>
        <v>0</v>
      </c>
      <c r="R26" s="9">
        <v>0</v>
      </c>
      <c r="S26" s="29">
        <f t="shared" si="4"/>
        <v>0</v>
      </c>
      <c r="T26" s="29">
        <v>0</v>
      </c>
      <c r="U26" s="121">
        <f t="shared" si="22"/>
        <v>0</v>
      </c>
      <c r="V26" s="121">
        <v>0</v>
      </c>
      <c r="W26" s="36">
        <v>6.99</v>
      </c>
      <c r="X26" s="36">
        <v>6.49</v>
      </c>
      <c r="Y26" s="36"/>
      <c r="Z26" s="45">
        <f t="shared" si="5"/>
        <v>0</v>
      </c>
      <c r="AA26" s="8">
        <f t="shared" si="6"/>
        <v>69447</v>
      </c>
      <c r="AB26" s="32">
        <f>L26*I26*0.35/100</f>
        <v>44.1</v>
      </c>
      <c r="AC26" s="43"/>
      <c r="AD26" s="44">
        <f t="shared" si="7"/>
        <v>0</v>
      </c>
      <c r="AE26" s="39">
        <f t="shared" si="8"/>
        <v>0</v>
      </c>
      <c r="AF26" s="39">
        <f t="shared" si="23"/>
        <v>0</v>
      </c>
      <c r="AH26" s="137">
        <v>0</v>
      </c>
      <c r="AI26" s="137">
        <f t="shared" si="9"/>
        <v>0</v>
      </c>
      <c r="AJ26" s="137">
        <f t="shared" si="10"/>
        <v>0</v>
      </c>
      <c r="AK26" s="7"/>
      <c r="AL26" s="7">
        <f t="shared" si="11"/>
        <v>0</v>
      </c>
      <c r="AM26" s="7">
        <f t="shared" si="12"/>
        <v>0</v>
      </c>
      <c r="AN26" s="7">
        <v>0</v>
      </c>
      <c r="AO26" s="137">
        <f t="shared" si="13"/>
        <v>0</v>
      </c>
      <c r="AP26" s="137">
        <f t="shared" si="14"/>
        <v>0</v>
      </c>
      <c r="AQ26" s="7">
        <f t="shared" si="15"/>
        <v>0</v>
      </c>
      <c r="AR26" s="7">
        <f t="shared" si="15"/>
        <v>0</v>
      </c>
      <c r="AS26" s="40">
        <f t="shared" si="16"/>
        <v>0</v>
      </c>
      <c r="AT26" s="40">
        <f t="shared" si="24"/>
        <v>0</v>
      </c>
      <c r="AU26" s="7">
        <f t="shared" si="17"/>
        <v>5.5116666666666667</v>
      </c>
      <c r="AV26" s="40">
        <f t="shared" si="18"/>
        <v>5.5116666666666667</v>
      </c>
      <c r="AW26" s="41">
        <f t="shared" si="19"/>
        <v>0.15074473549049822</v>
      </c>
      <c r="AY26" s="150">
        <f t="shared" si="29"/>
        <v>6.49</v>
      </c>
      <c r="AZ26" s="151">
        <f t="shared" si="27"/>
        <v>0</v>
      </c>
      <c r="BA26" s="160">
        <f t="shared" si="25"/>
        <v>6.49</v>
      </c>
      <c r="BB26" s="164"/>
      <c r="BD26" s="86" t="s">
        <v>106</v>
      </c>
      <c r="BE26" s="86" t="s">
        <v>263</v>
      </c>
      <c r="BF26" s="87" t="s">
        <v>264</v>
      </c>
      <c r="BG26" s="87">
        <v>387000650117</v>
      </c>
      <c r="BH26" s="86" t="s">
        <v>265</v>
      </c>
      <c r="BI26" s="86">
        <v>2222</v>
      </c>
      <c r="BJ26" s="86" t="s">
        <v>266</v>
      </c>
      <c r="BK26" s="86">
        <v>13312250</v>
      </c>
      <c r="BL26" s="86" t="s">
        <v>267</v>
      </c>
      <c r="BM26" s="86" t="s">
        <v>108</v>
      </c>
    </row>
    <row r="27" spans="1:65" ht="14.25" customHeight="1" thickBot="1" x14ac:dyDescent="0.25">
      <c r="A27" s="52">
        <f>0.355*24/100</f>
        <v>8.5199999999999998E-2</v>
      </c>
      <c r="B27" s="27"/>
      <c r="C27" s="47">
        <f t="shared" si="20"/>
        <v>0</v>
      </c>
      <c r="D27" s="47" t="s">
        <v>74</v>
      </c>
      <c r="E27" s="47" t="s">
        <v>141</v>
      </c>
      <c r="F27" s="189" t="s">
        <v>250</v>
      </c>
      <c r="G27" s="189">
        <v>1149563</v>
      </c>
      <c r="H27" s="199" t="s">
        <v>255</v>
      </c>
      <c r="I27" s="186">
        <v>24</v>
      </c>
      <c r="J27" s="186">
        <v>84</v>
      </c>
      <c r="K27" s="188">
        <f t="shared" si="30"/>
        <v>2184</v>
      </c>
      <c r="L27" s="196">
        <f>J27*12</f>
        <v>1008</v>
      </c>
      <c r="M27" s="179">
        <f t="shared" si="1"/>
        <v>12</v>
      </c>
      <c r="N27" s="84">
        <f t="shared" si="2"/>
        <v>0.46153846153846156</v>
      </c>
      <c r="O27" s="148">
        <v>170.82</v>
      </c>
      <c r="P27" s="135">
        <f t="shared" si="21"/>
        <v>7.1174999999999997</v>
      </c>
      <c r="Q27" s="9">
        <f t="shared" si="3"/>
        <v>0</v>
      </c>
      <c r="R27" s="9">
        <v>0</v>
      </c>
      <c r="S27" s="29">
        <f t="shared" si="4"/>
        <v>0</v>
      </c>
      <c r="T27" s="29">
        <v>0</v>
      </c>
      <c r="U27" s="121">
        <f t="shared" si="22"/>
        <v>0</v>
      </c>
      <c r="V27" s="121">
        <v>0</v>
      </c>
      <c r="W27" s="36">
        <v>9.49</v>
      </c>
      <c r="X27" s="36">
        <v>8.49</v>
      </c>
      <c r="Y27" s="36"/>
      <c r="Z27" s="45">
        <f t="shared" si="5"/>
        <v>0</v>
      </c>
      <c r="AA27" s="8">
        <f t="shared" si="6"/>
        <v>172186.56</v>
      </c>
      <c r="AB27" s="32">
        <f t="shared" ref="AB27" si="31">L27*I27*0.35/100</f>
        <v>84.671999999999983</v>
      </c>
      <c r="AC27" s="43"/>
      <c r="AD27" s="44">
        <f t="shared" si="7"/>
        <v>0</v>
      </c>
      <c r="AE27" s="39">
        <f t="shared" si="8"/>
        <v>0</v>
      </c>
      <c r="AF27" s="39">
        <f t="shared" si="23"/>
        <v>0</v>
      </c>
      <c r="AH27" s="137">
        <v>0</v>
      </c>
      <c r="AI27" s="137">
        <f t="shared" si="9"/>
        <v>0</v>
      </c>
      <c r="AJ27" s="137">
        <f t="shared" si="10"/>
        <v>0</v>
      </c>
      <c r="AK27" s="7"/>
      <c r="AL27" s="7">
        <f t="shared" si="11"/>
        <v>0</v>
      </c>
      <c r="AM27" s="7">
        <f t="shared" si="12"/>
        <v>0</v>
      </c>
      <c r="AN27" s="7">
        <v>0</v>
      </c>
      <c r="AO27" s="137">
        <f t="shared" si="13"/>
        <v>0</v>
      </c>
      <c r="AP27" s="137">
        <f t="shared" si="14"/>
        <v>0</v>
      </c>
      <c r="AQ27" s="7">
        <f t="shared" si="15"/>
        <v>0</v>
      </c>
      <c r="AR27" s="7">
        <f t="shared" si="15"/>
        <v>0</v>
      </c>
      <c r="AS27" s="40">
        <f t="shared" si="16"/>
        <v>0</v>
      </c>
      <c r="AT27" s="40">
        <f t="shared" si="24"/>
        <v>0</v>
      </c>
      <c r="AU27" s="7">
        <f t="shared" si="17"/>
        <v>7.1174999999999997</v>
      </c>
      <c r="AV27" s="40">
        <f t="shared" si="18"/>
        <v>7.1174999999999997</v>
      </c>
      <c r="AW27" s="41">
        <f t="shared" si="19"/>
        <v>0.16166077738515908</v>
      </c>
      <c r="AY27" s="150">
        <f t="shared" si="29"/>
        <v>8.49</v>
      </c>
      <c r="AZ27" s="151">
        <f t="shared" si="27"/>
        <v>0</v>
      </c>
      <c r="BA27" s="160">
        <f t="shared" si="25"/>
        <v>8.49</v>
      </c>
      <c r="BB27" s="164"/>
      <c r="BD27" s="86" t="s">
        <v>106</v>
      </c>
      <c r="BE27" s="86" t="s">
        <v>263</v>
      </c>
      <c r="BF27" s="87" t="s">
        <v>264</v>
      </c>
      <c r="BG27" s="87">
        <v>387000650117</v>
      </c>
      <c r="BH27" s="86" t="s">
        <v>265</v>
      </c>
      <c r="BI27" s="86">
        <v>2222</v>
      </c>
      <c r="BJ27" s="86" t="s">
        <v>266</v>
      </c>
      <c r="BK27" s="86">
        <v>13312250</v>
      </c>
      <c r="BL27" s="86" t="s">
        <v>267</v>
      </c>
      <c r="BM27" s="86" t="s">
        <v>108</v>
      </c>
    </row>
    <row r="28" spans="1:65" ht="14.25" customHeight="1" thickBot="1" x14ac:dyDescent="0.25">
      <c r="A28" s="52">
        <f>0.6*12/100</f>
        <v>7.1999999999999995E-2</v>
      </c>
      <c r="B28" s="27"/>
      <c r="C28" s="47">
        <f t="shared" si="20"/>
        <v>0</v>
      </c>
      <c r="D28" s="47" t="s">
        <v>74</v>
      </c>
      <c r="E28" s="47" t="s">
        <v>141</v>
      </c>
      <c r="F28" s="189" t="s">
        <v>251</v>
      </c>
      <c r="G28" s="189">
        <v>1149565</v>
      </c>
      <c r="H28" s="199" t="s">
        <v>256</v>
      </c>
      <c r="I28" s="186">
        <v>12</v>
      </c>
      <c r="J28" s="186">
        <v>60</v>
      </c>
      <c r="K28" s="188">
        <f t="shared" si="30"/>
        <v>1560</v>
      </c>
      <c r="L28" s="196">
        <f>J28*17</f>
        <v>1020</v>
      </c>
      <c r="M28" s="179">
        <f t="shared" si="1"/>
        <v>17</v>
      </c>
      <c r="N28" s="84">
        <f t="shared" si="2"/>
        <v>0.65384615384615385</v>
      </c>
      <c r="O28" s="148">
        <v>136.71</v>
      </c>
      <c r="P28" s="135">
        <f t="shared" si="21"/>
        <v>11.3925</v>
      </c>
      <c r="Q28" s="9">
        <f t="shared" si="3"/>
        <v>0</v>
      </c>
      <c r="R28" s="9">
        <v>0</v>
      </c>
      <c r="S28" s="29">
        <f t="shared" si="4"/>
        <v>0</v>
      </c>
      <c r="T28" s="29">
        <v>0</v>
      </c>
      <c r="U28" s="121">
        <f t="shared" si="22"/>
        <v>0</v>
      </c>
      <c r="V28" s="121">
        <v>0</v>
      </c>
      <c r="W28" s="36">
        <v>15.19</v>
      </c>
      <c r="X28" s="36">
        <v>13.29</v>
      </c>
      <c r="Y28" s="36"/>
      <c r="Z28" s="45">
        <f t="shared" si="5"/>
        <v>0</v>
      </c>
      <c r="AA28" s="8">
        <f t="shared" si="6"/>
        <v>139444.20000000001</v>
      </c>
      <c r="AB28" s="32">
        <f>L28*I28*0.6/100</f>
        <v>73.44</v>
      </c>
      <c r="AC28" s="43"/>
      <c r="AD28" s="44">
        <f t="shared" si="7"/>
        <v>0</v>
      </c>
      <c r="AE28" s="39">
        <f t="shared" si="8"/>
        <v>0</v>
      </c>
      <c r="AF28" s="39">
        <f t="shared" si="23"/>
        <v>0</v>
      </c>
      <c r="AH28" s="137">
        <v>0</v>
      </c>
      <c r="AI28" s="137">
        <f t="shared" si="9"/>
        <v>0</v>
      </c>
      <c r="AJ28" s="137">
        <f t="shared" si="10"/>
        <v>0</v>
      </c>
      <c r="AK28" s="7"/>
      <c r="AL28" s="7">
        <f t="shared" si="11"/>
        <v>0</v>
      </c>
      <c r="AM28" s="7">
        <f t="shared" si="12"/>
        <v>0</v>
      </c>
      <c r="AN28" s="7">
        <v>0</v>
      </c>
      <c r="AO28" s="137">
        <f t="shared" si="13"/>
        <v>0</v>
      </c>
      <c r="AP28" s="137">
        <f t="shared" si="14"/>
        <v>0</v>
      </c>
      <c r="AQ28" s="7">
        <f t="shared" si="15"/>
        <v>0</v>
      </c>
      <c r="AR28" s="7">
        <f t="shared" si="15"/>
        <v>0</v>
      </c>
      <c r="AS28" s="40">
        <f t="shared" si="16"/>
        <v>0</v>
      </c>
      <c r="AT28" s="40">
        <f t="shared" si="24"/>
        <v>0</v>
      </c>
      <c r="AU28" s="7">
        <f t="shared" si="17"/>
        <v>11.3925</v>
      </c>
      <c r="AV28" s="40">
        <f t="shared" si="18"/>
        <v>11.3925</v>
      </c>
      <c r="AW28" s="41">
        <f t="shared" si="19"/>
        <v>0.14277652370203153</v>
      </c>
      <c r="AY28" s="150">
        <f t="shared" si="29"/>
        <v>13.29</v>
      </c>
      <c r="AZ28" s="151">
        <f t="shared" si="27"/>
        <v>0</v>
      </c>
      <c r="BA28" s="160">
        <f t="shared" si="25"/>
        <v>13.29</v>
      </c>
      <c r="BB28" s="164"/>
      <c r="BD28" s="86" t="s">
        <v>106</v>
      </c>
      <c r="BE28" s="86" t="s">
        <v>263</v>
      </c>
      <c r="BF28" s="87" t="s">
        <v>264</v>
      </c>
      <c r="BG28" s="87">
        <v>387000650117</v>
      </c>
      <c r="BH28" s="86" t="s">
        <v>265</v>
      </c>
      <c r="BI28" s="86">
        <v>2222</v>
      </c>
      <c r="BJ28" s="86" t="s">
        <v>266</v>
      </c>
      <c r="BK28" s="86">
        <v>13312250</v>
      </c>
      <c r="BL28" s="86" t="s">
        <v>267</v>
      </c>
      <c r="BM28" s="86" t="s">
        <v>108</v>
      </c>
    </row>
    <row r="29" spans="1:65" s="106" customFormat="1" ht="14.25" customHeight="1" thickBot="1" x14ac:dyDescent="0.25">
      <c r="A29" s="89">
        <v>7.1999999999999995E-2</v>
      </c>
      <c r="B29" s="27">
        <f>VLOOKUP(F29,Planilha3!D:F,3,0)</f>
        <v>7.4611665297500274</v>
      </c>
      <c r="C29" s="90">
        <f t="shared" si="20"/>
        <v>103.62731291319483</v>
      </c>
      <c r="D29" s="90" t="s">
        <v>76</v>
      </c>
      <c r="E29" s="90" t="s">
        <v>80</v>
      </c>
      <c r="F29" s="91">
        <v>902832</v>
      </c>
      <c r="G29" s="91">
        <v>1046669</v>
      </c>
      <c r="H29" s="92" t="s">
        <v>28</v>
      </c>
      <c r="I29" s="93">
        <v>12</v>
      </c>
      <c r="J29" s="93">
        <v>60</v>
      </c>
      <c r="K29" s="94">
        <f>J29*24</f>
        <v>1440</v>
      </c>
      <c r="L29" s="125">
        <v>120</v>
      </c>
      <c r="M29" s="180">
        <f t="shared" si="1"/>
        <v>2</v>
      </c>
      <c r="N29" s="95">
        <f t="shared" si="2"/>
        <v>8.3333333333333329E-2</v>
      </c>
      <c r="O29" s="148">
        <v>134.52000000000001</v>
      </c>
      <c r="P29" s="135">
        <f t="shared" si="21"/>
        <v>11.21</v>
      </c>
      <c r="Q29" s="96">
        <f t="shared" si="3"/>
        <v>0</v>
      </c>
      <c r="R29" s="96">
        <v>0</v>
      </c>
      <c r="S29" s="97">
        <f t="shared" si="4"/>
        <v>0</v>
      </c>
      <c r="T29" s="97">
        <v>0</v>
      </c>
      <c r="U29" s="121">
        <f t="shared" si="22"/>
        <v>0</v>
      </c>
      <c r="V29" s="121">
        <v>0</v>
      </c>
      <c r="W29" s="36">
        <f>VLOOKUP(F29,'[1]Proposta HNK para Tenda'!$F:$T,15,0)</f>
        <v>14.19</v>
      </c>
      <c r="X29" s="36">
        <f>VLOOKUP(F29,'[1]Proposta HNK para Tenda'!$F:$U,16,0)</f>
        <v>14.19</v>
      </c>
      <c r="Y29" s="36"/>
      <c r="Z29" s="98">
        <f t="shared" si="5"/>
        <v>0</v>
      </c>
      <c r="AA29" s="99">
        <f t="shared" si="6"/>
        <v>16142.400000000001</v>
      </c>
      <c r="AB29" s="100">
        <f>L29*12*0.6/100</f>
        <v>8.64</v>
      </c>
      <c r="AC29" s="101"/>
      <c r="AD29" s="44">
        <f t="shared" si="7"/>
        <v>0</v>
      </c>
      <c r="AE29" s="102">
        <f t="shared" si="8"/>
        <v>0</v>
      </c>
      <c r="AF29" s="102">
        <f t="shared" si="23"/>
        <v>0</v>
      </c>
      <c r="AH29" s="137">
        <v>0</v>
      </c>
      <c r="AI29" s="138">
        <f t="shared" si="9"/>
        <v>0</v>
      </c>
      <c r="AJ29" s="138">
        <f t="shared" si="10"/>
        <v>0</v>
      </c>
      <c r="AK29" s="103"/>
      <c r="AL29" s="103">
        <f t="shared" si="11"/>
        <v>0</v>
      </c>
      <c r="AM29" s="103">
        <f t="shared" si="12"/>
        <v>0</v>
      </c>
      <c r="AN29" s="7">
        <v>0</v>
      </c>
      <c r="AO29" s="138">
        <f t="shared" si="13"/>
        <v>0</v>
      </c>
      <c r="AP29" s="138">
        <f t="shared" si="14"/>
        <v>0</v>
      </c>
      <c r="AQ29" s="103">
        <f t="shared" si="15"/>
        <v>0</v>
      </c>
      <c r="AR29" s="103">
        <f t="shared" si="15"/>
        <v>0</v>
      </c>
      <c r="AS29" s="104">
        <f t="shared" si="16"/>
        <v>0</v>
      </c>
      <c r="AT29" s="104">
        <f t="shared" si="24"/>
        <v>0</v>
      </c>
      <c r="AU29" s="103">
        <f t="shared" si="17"/>
        <v>11.21</v>
      </c>
      <c r="AV29" s="104">
        <f t="shared" si="18"/>
        <v>11.21</v>
      </c>
      <c r="AW29" s="105">
        <f t="shared" si="19"/>
        <v>0.21000704721634944</v>
      </c>
      <c r="AY29" s="150">
        <f t="shared" si="29"/>
        <v>14.19</v>
      </c>
      <c r="AZ29" s="151">
        <f t="shared" si="27"/>
        <v>0</v>
      </c>
      <c r="BA29" s="160">
        <f t="shared" si="25"/>
        <v>14.19</v>
      </c>
      <c r="BB29" s="164"/>
      <c r="BD29" s="86" t="s">
        <v>106</v>
      </c>
      <c r="BE29" s="86" t="s">
        <v>263</v>
      </c>
      <c r="BF29" s="87" t="s">
        <v>264</v>
      </c>
      <c r="BG29" s="87">
        <v>387000650117</v>
      </c>
      <c r="BH29" s="86" t="s">
        <v>265</v>
      </c>
      <c r="BI29" s="86">
        <v>2222</v>
      </c>
      <c r="BJ29" s="86" t="s">
        <v>266</v>
      </c>
      <c r="BK29" s="86">
        <v>13312250</v>
      </c>
      <c r="BL29" s="86" t="s">
        <v>267</v>
      </c>
      <c r="BM29" s="86" t="s">
        <v>108</v>
      </c>
    </row>
    <row r="30" spans="1:65" s="106" customFormat="1" ht="14.25" customHeight="1" thickBot="1" x14ac:dyDescent="0.25">
      <c r="A30" s="89">
        <v>7.1999999999999995E-2</v>
      </c>
      <c r="B30" s="27">
        <f>VLOOKUP(F30,Planilha3!D:F,3,0)</f>
        <v>5.9481990031035448</v>
      </c>
      <c r="C30" s="90">
        <f t="shared" si="20"/>
        <v>82.613875043104798</v>
      </c>
      <c r="D30" s="90" t="s">
        <v>76</v>
      </c>
      <c r="E30" s="90" t="s">
        <v>80</v>
      </c>
      <c r="F30" s="93">
        <v>900118</v>
      </c>
      <c r="G30" s="93">
        <v>1017028</v>
      </c>
      <c r="H30" s="92" t="s">
        <v>26</v>
      </c>
      <c r="I30" s="93">
        <v>12</v>
      </c>
      <c r="J30" s="93">
        <v>60</v>
      </c>
      <c r="K30" s="94">
        <f t="shared" ref="K30:K39" si="32">J30*24</f>
        <v>1440</v>
      </c>
      <c r="L30" s="125">
        <v>120</v>
      </c>
      <c r="M30" s="180">
        <f t="shared" si="1"/>
        <v>2</v>
      </c>
      <c r="N30" s="95">
        <f t="shared" si="2"/>
        <v>8.3333333333333329E-2</v>
      </c>
      <c r="O30" s="148">
        <v>134.52000000000001</v>
      </c>
      <c r="P30" s="135">
        <f t="shared" si="21"/>
        <v>11.21</v>
      </c>
      <c r="Q30" s="96">
        <f t="shared" si="3"/>
        <v>0</v>
      </c>
      <c r="R30" s="96">
        <v>0</v>
      </c>
      <c r="S30" s="97">
        <f t="shared" si="4"/>
        <v>0</v>
      </c>
      <c r="T30" s="97">
        <v>0</v>
      </c>
      <c r="U30" s="121">
        <f t="shared" si="22"/>
        <v>0</v>
      </c>
      <c r="V30" s="121">
        <v>0</v>
      </c>
      <c r="W30" s="36">
        <f>VLOOKUP(F30,'[1]Proposta HNK para Tenda'!$F:$T,15,0)</f>
        <v>14.19</v>
      </c>
      <c r="X30" s="36">
        <f>VLOOKUP(F30,'[1]Proposta HNK para Tenda'!$F:$U,16,0)</f>
        <v>14.19</v>
      </c>
      <c r="Y30" s="36"/>
      <c r="Z30" s="98">
        <f t="shared" si="5"/>
        <v>0</v>
      </c>
      <c r="AA30" s="99">
        <f t="shared" si="6"/>
        <v>16142.400000000001</v>
      </c>
      <c r="AB30" s="100">
        <f>L30*12*0.6/100</f>
        <v>8.64</v>
      </c>
      <c r="AC30" s="101"/>
      <c r="AD30" s="44">
        <f t="shared" si="7"/>
        <v>0</v>
      </c>
      <c r="AE30" s="102">
        <f t="shared" si="8"/>
        <v>0</v>
      </c>
      <c r="AF30" s="102">
        <f t="shared" si="23"/>
        <v>0</v>
      </c>
      <c r="AH30" s="137">
        <v>0</v>
      </c>
      <c r="AI30" s="138">
        <f t="shared" si="9"/>
        <v>0</v>
      </c>
      <c r="AJ30" s="138">
        <f t="shared" si="10"/>
        <v>0</v>
      </c>
      <c r="AK30" s="103"/>
      <c r="AL30" s="103">
        <f t="shared" si="11"/>
        <v>0</v>
      </c>
      <c r="AM30" s="103">
        <f t="shared" si="12"/>
        <v>0</v>
      </c>
      <c r="AN30" s="7">
        <v>0</v>
      </c>
      <c r="AO30" s="138">
        <f t="shared" si="13"/>
        <v>0</v>
      </c>
      <c r="AP30" s="138">
        <f t="shared" si="14"/>
        <v>0</v>
      </c>
      <c r="AQ30" s="103">
        <f t="shared" si="15"/>
        <v>0</v>
      </c>
      <c r="AR30" s="103">
        <f t="shared" si="15"/>
        <v>0</v>
      </c>
      <c r="AS30" s="104">
        <f t="shared" si="16"/>
        <v>0</v>
      </c>
      <c r="AT30" s="104">
        <f t="shared" si="24"/>
        <v>0</v>
      </c>
      <c r="AU30" s="103">
        <f t="shared" si="17"/>
        <v>11.21</v>
      </c>
      <c r="AV30" s="104">
        <f t="shared" si="18"/>
        <v>11.21</v>
      </c>
      <c r="AW30" s="105">
        <f t="shared" si="19"/>
        <v>0.21000704721634944</v>
      </c>
      <c r="AY30" s="150">
        <f t="shared" si="29"/>
        <v>14.19</v>
      </c>
      <c r="AZ30" s="151">
        <f t="shared" si="27"/>
        <v>0</v>
      </c>
      <c r="BA30" s="160">
        <f t="shared" si="25"/>
        <v>14.19</v>
      </c>
      <c r="BB30" s="164"/>
      <c r="BD30" s="86" t="s">
        <v>106</v>
      </c>
      <c r="BE30" s="86" t="s">
        <v>263</v>
      </c>
      <c r="BF30" s="87" t="s">
        <v>264</v>
      </c>
      <c r="BG30" s="87">
        <v>387000650117</v>
      </c>
      <c r="BH30" s="86" t="s">
        <v>265</v>
      </c>
      <c r="BI30" s="86">
        <v>2222</v>
      </c>
      <c r="BJ30" s="86" t="s">
        <v>266</v>
      </c>
      <c r="BK30" s="86">
        <v>13312250</v>
      </c>
      <c r="BL30" s="86" t="s">
        <v>267</v>
      </c>
      <c r="BM30" s="86" t="s">
        <v>108</v>
      </c>
    </row>
    <row r="31" spans="1:65" s="106" customFormat="1" ht="14.25" customHeight="1" thickBot="1" x14ac:dyDescent="0.25">
      <c r="A31" s="89">
        <v>4.2000000000000003E-2</v>
      </c>
      <c r="B31" s="27">
        <f>VLOOKUP(F31,Planilha3!D:F,3,0)</f>
        <v>27.698971230513877</v>
      </c>
      <c r="C31" s="90">
        <f t="shared" si="20"/>
        <v>659.49931501223512</v>
      </c>
      <c r="D31" s="90" t="s">
        <v>76</v>
      </c>
      <c r="E31" s="90" t="s">
        <v>80</v>
      </c>
      <c r="F31" s="107">
        <v>904451</v>
      </c>
      <c r="G31" s="107">
        <v>1147973</v>
      </c>
      <c r="H31" s="92" t="s">
        <v>23</v>
      </c>
      <c r="I31" s="93">
        <v>12</v>
      </c>
      <c r="J31" s="93">
        <v>280</v>
      </c>
      <c r="K31" s="94">
        <f t="shared" si="32"/>
        <v>6720</v>
      </c>
      <c r="L31" s="125">
        <v>6720</v>
      </c>
      <c r="M31" s="180">
        <f t="shared" si="1"/>
        <v>24</v>
      </c>
      <c r="N31" s="95">
        <f>M31/26</f>
        <v>0.92307692307692313</v>
      </c>
      <c r="O31" s="148">
        <v>57.73</v>
      </c>
      <c r="P31" s="135">
        <f t="shared" si="21"/>
        <v>4.8108333333333331</v>
      </c>
      <c r="Q31" s="108">
        <f t="shared" si="3"/>
        <v>3</v>
      </c>
      <c r="R31" s="108">
        <v>0.25</v>
      </c>
      <c r="S31" s="122">
        <f t="shared" si="4"/>
        <v>0.72</v>
      </c>
      <c r="T31" s="122">
        <v>0.06</v>
      </c>
      <c r="U31" s="121">
        <f t="shared" si="22"/>
        <v>0.31</v>
      </c>
      <c r="V31" s="121">
        <v>0.31</v>
      </c>
      <c r="W31" s="36">
        <f>VLOOKUP(F31,'[1]Proposta HNK para Tenda'!$F:$T,15,0)</f>
        <v>6.09</v>
      </c>
      <c r="X31" s="36">
        <f>VLOOKUP(F31,'[1]Proposta HNK para Tenda'!$F:$U,16,0)</f>
        <v>5.3900000000000006</v>
      </c>
      <c r="Y31" s="36"/>
      <c r="Z31" s="98">
        <f t="shared" si="5"/>
        <v>24998.399999999998</v>
      </c>
      <c r="AA31" s="99">
        <f t="shared" si="6"/>
        <v>387945.6</v>
      </c>
      <c r="AB31" s="100">
        <f>L31*12*0.35/100</f>
        <v>282.24</v>
      </c>
      <c r="AC31" s="101"/>
      <c r="AD31" s="44">
        <f t="shared" si="7"/>
        <v>0.31429999999999997</v>
      </c>
      <c r="AE31" s="102">
        <f t="shared" si="8"/>
        <v>0.31</v>
      </c>
      <c r="AF31" s="102">
        <f t="shared" si="23"/>
        <v>4.2999999999999705E-3</v>
      </c>
      <c r="AH31" s="175">
        <v>89.8</v>
      </c>
      <c r="AI31" s="176">
        <f t="shared" si="9"/>
        <v>25345.151999999998</v>
      </c>
      <c r="AJ31" s="176">
        <f t="shared" si="10"/>
        <v>0.31429999999999997</v>
      </c>
      <c r="AK31" s="103"/>
      <c r="AL31" s="103">
        <f t="shared" si="11"/>
        <v>0</v>
      </c>
      <c r="AM31" s="103">
        <f t="shared" si="12"/>
        <v>0</v>
      </c>
      <c r="AN31" s="7">
        <v>0</v>
      </c>
      <c r="AO31" s="138">
        <f t="shared" si="13"/>
        <v>0</v>
      </c>
      <c r="AP31" s="138">
        <f t="shared" si="14"/>
        <v>0</v>
      </c>
      <c r="AQ31" s="103">
        <f t="shared" si="15"/>
        <v>25345.151999999998</v>
      </c>
      <c r="AR31" s="103">
        <f t="shared" si="15"/>
        <v>0.31429999999999997</v>
      </c>
      <c r="AS31" s="104">
        <f t="shared" si="16"/>
        <v>24998.399999999998</v>
      </c>
      <c r="AT31" s="104">
        <f t="shared" si="24"/>
        <v>346.75200000000041</v>
      </c>
      <c r="AU31" s="103">
        <f t="shared" si="17"/>
        <v>4.8108333333333331</v>
      </c>
      <c r="AV31" s="104">
        <f t="shared" si="18"/>
        <v>4.5008333333333335</v>
      </c>
      <c r="AW31" s="105">
        <f t="shared" si="19"/>
        <v>0.1649659863945579</v>
      </c>
      <c r="AY31" s="150">
        <f t="shared" si="29"/>
        <v>5.3900000000000006</v>
      </c>
      <c r="AZ31" s="151">
        <f t="shared" si="27"/>
        <v>0</v>
      </c>
      <c r="BA31" s="160">
        <f t="shared" si="25"/>
        <v>5.3900000000000006</v>
      </c>
      <c r="BB31" s="164"/>
      <c r="BD31" s="86" t="s">
        <v>106</v>
      </c>
      <c r="BE31" s="86" t="s">
        <v>263</v>
      </c>
      <c r="BF31" s="87" t="s">
        <v>264</v>
      </c>
      <c r="BG31" s="87">
        <v>387000650117</v>
      </c>
      <c r="BH31" s="86" t="s">
        <v>265</v>
      </c>
      <c r="BI31" s="86">
        <v>2222</v>
      </c>
      <c r="BJ31" s="86" t="s">
        <v>266</v>
      </c>
      <c r="BK31" s="86">
        <v>13312250</v>
      </c>
      <c r="BL31" s="86" t="s">
        <v>267</v>
      </c>
      <c r="BM31" s="86" t="s">
        <v>108</v>
      </c>
    </row>
    <row r="32" spans="1:65" s="106" customFormat="1" ht="14.25" customHeight="1" thickBot="1" x14ac:dyDescent="0.25">
      <c r="A32" s="89">
        <v>7.1999999999999995E-2</v>
      </c>
      <c r="B32" s="27">
        <f>VLOOKUP(F32,Planilha3!D:F,3,0)</f>
        <v>2.9586870052133625</v>
      </c>
      <c r="C32" s="90">
        <f t="shared" si="20"/>
        <v>41.092875072407814</v>
      </c>
      <c r="D32" s="90" t="s">
        <v>76</v>
      </c>
      <c r="E32" s="90" t="s">
        <v>80</v>
      </c>
      <c r="F32" s="91">
        <v>904742</v>
      </c>
      <c r="G32" s="91">
        <v>1169732</v>
      </c>
      <c r="H32" s="92" t="s">
        <v>56</v>
      </c>
      <c r="I32" s="93">
        <v>12</v>
      </c>
      <c r="J32" s="93">
        <v>60</v>
      </c>
      <c r="K32" s="94">
        <f t="shared" si="32"/>
        <v>1440</v>
      </c>
      <c r="L32" s="125">
        <v>120</v>
      </c>
      <c r="M32" s="180">
        <f t="shared" si="1"/>
        <v>2</v>
      </c>
      <c r="N32" s="95">
        <f t="shared" ref="N32:N47" si="33">L32/K32</f>
        <v>8.3333333333333329E-2</v>
      </c>
      <c r="O32" s="148">
        <v>134.52000000000001</v>
      </c>
      <c r="P32" s="135">
        <f t="shared" si="21"/>
        <v>11.21</v>
      </c>
      <c r="Q32" s="96">
        <f t="shared" si="3"/>
        <v>0</v>
      </c>
      <c r="R32" s="96">
        <v>0</v>
      </c>
      <c r="S32" s="97">
        <f t="shared" si="4"/>
        <v>0</v>
      </c>
      <c r="T32" s="97">
        <v>0</v>
      </c>
      <c r="U32" s="121">
        <f t="shared" si="22"/>
        <v>0</v>
      </c>
      <c r="V32" s="121">
        <v>0</v>
      </c>
      <c r="W32" s="36">
        <f>VLOOKUP(F32,'[1]Proposta HNK para Tenda'!$F:$T,15,0)</f>
        <v>14.19</v>
      </c>
      <c r="X32" s="36">
        <f>VLOOKUP(F32,'[1]Proposta HNK para Tenda'!$F:$U,16,0)</f>
        <v>14.19</v>
      </c>
      <c r="Y32" s="36"/>
      <c r="Z32" s="98">
        <f t="shared" si="5"/>
        <v>0</v>
      </c>
      <c r="AA32" s="99">
        <f t="shared" si="6"/>
        <v>16142.400000000001</v>
      </c>
      <c r="AB32" s="100">
        <f>L32*12*0.6/100</f>
        <v>8.64</v>
      </c>
      <c r="AC32" s="101"/>
      <c r="AD32" s="44">
        <f t="shared" si="7"/>
        <v>0</v>
      </c>
      <c r="AE32" s="102">
        <f t="shared" si="8"/>
        <v>0</v>
      </c>
      <c r="AF32" s="102">
        <f t="shared" si="23"/>
        <v>0</v>
      </c>
      <c r="AH32" s="137">
        <v>0</v>
      </c>
      <c r="AI32" s="138">
        <f t="shared" si="9"/>
        <v>0</v>
      </c>
      <c r="AJ32" s="138">
        <f t="shared" si="10"/>
        <v>0</v>
      </c>
      <c r="AK32" s="103"/>
      <c r="AL32" s="103">
        <f t="shared" si="11"/>
        <v>0</v>
      </c>
      <c r="AM32" s="103">
        <f t="shared" si="12"/>
        <v>0</v>
      </c>
      <c r="AN32" s="7">
        <v>0</v>
      </c>
      <c r="AO32" s="138">
        <f t="shared" si="13"/>
        <v>0</v>
      </c>
      <c r="AP32" s="138">
        <f t="shared" si="14"/>
        <v>0</v>
      </c>
      <c r="AQ32" s="103">
        <f t="shared" si="15"/>
        <v>0</v>
      </c>
      <c r="AR32" s="103">
        <f t="shared" si="15"/>
        <v>0</v>
      </c>
      <c r="AS32" s="104">
        <f t="shared" si="16"/>
        <v>0</v>
      </c>
      <c r="AT32" s="104">
        <f t="shared" si="24"/>
        <v>0</v>
      </c>
      <c r="AU32" s="103">
        <f t="shared" si="17"/>
        <v>11.21</v>
      </c>
      <c r="AV32" s="104">
        <f t="shared" si="18"/>
        <v>11.21</v>
      </c>
      <c r="AW32" s="105">
        <f t="shared" si="19"/>
        <v>0.21000704721634944</v>
      </c>
      <c r="AY32" s="150">
        <f t="shared" si="29"/>
        <v>14.19</v>
      </c>
      <c r="AZ32" s="151">
        <f t="shared" si="27"/>
        <v>0</v>
      </c>
      <c r="BA32" s="160">
        <f t="shared" si="25"/>
        <v>14.19</v>
      </c>
      <c r="BB32" s="164"/>
      <c r="BD32" s="86" t="s">
        <v>106</v>
      </c>
      <c r="BE32" s="86" t="s">
        <v>263</v>
      </c>
      <c r="BF32" s="87" t="s">
        <v>264</v>
      </c>
      <c r="BG32" s="87">
        <v>387000650117</v>
      </c>
      <c r="BH32" s="86" t="s">
        <v>265</v>
      </c>
      <c r="BI32" s="86">
        <v>2222</v>
      </c>
      <c r="BJ32" s="86" t="s">
        <v>266</v>
      </c>
      <c r="BK32" s="86">
        <v>13312250</v>
      </c>
      <c r="BL32" s="86" t="s">
        <v>267</v>
      </c>
      <c r="BM32" s="86" t="s">
        <v>108</v>
      </c>
    </row>
    <row r="33" spans="1:65 16369:16369" s="106" customFormat="1" ht="14.25" customHeight="1" thickBot="1" x14ac:dyDescent="0.25">
      <c r="A33" s="89">
        <v>4.2000000000000003E-2</v>
      </c>
      <c r="B33" s="27">
        <f>VLOOKUP(F33,Planilha3!D:F,3,0)</f>
        <v>12.8718384739042</v>
      </c>
      <c r="C33" s="90">
        <f t="shared" si="20"/>
        <v>306.47234461676663</v>
      </c>
      <c r="D33" s="90" t="s">
        <v>76</v>
      </c>
      <c r="E33" s="90" t="s">
        <v>80</v>
      </c>
      <c r="F33" s="107">
        <v>904743</v>
      </c>
      <c r="G33" s="107">
        <v>1170232</v>
      </c>
      <c r="H33" s="92" t="s">
        <v>22</v>
      </c>
      <c r="I33" s="93">
        <v>12</v>
      </c>
      <c r="J33" s="93">
        <v>280</v>
      </c>
      <c r="K33" s="94">
        <f t="shared" si="32"/>
        <v>6720</v>
      </c>
      <c r="L33" s="170">
        <v>3920</v>
      </c>
      <c r="M33" s="180">
        <f t="shared" si="1"/>
        <v>14</v>
      </c>
      <c r="N33" s="95">
        <f t="shared" si="33"/>
        <v>0.58333333333333337</v>
      </c>
      <c r="O33" s="148">
        <v>57.73</v>
      </c>
      <c r="P33" s="135">
        <f t="shared" si="21"/>
        <v>4.8108333333333331</v>
      </c>
      <c r="Q33" s="108">
        <f t="shared" si="3"/>
        <v>3</v>
      </c>
      <c r="R33" s="108">
        <v>0.25</v>
      </c>
      <c r="S33" s="122">
        <f t="shared" si="4"/>
        <v>0.72</v>
      </c>
      <c r="T33" s="122">
        <v>0.06</v>
      </c>
      <c r="U33" s="121">
        <f t="shared" si="22"/>
        <v>0.31</v>
      </c>
      <c r="V33" s="121">
        <v>0.31</v>
      </c>
      <c r="W33" s="36">
        <f>VLOOKUP(F33,'[1]Proposta HNK para Tenda'!$F:$T,15,0)</f>
        <v>6.09</v>
      </c>
      <c r="X33" s="36">
        <f>VLOOKUP(F33,'[1]Proposta HNK para Tenda'!$F:$U,16,0)</f>
        <v>5.3900000000000006</v>
      </c>
      <c r="Y33" s="36"/>
      <c r="Z33" s="98">
        <f t="shared" si="5"/>
        <v>14582.4</v>
      </c>
      <c r="AA33" s="99">
        <f t="shared" si="6"/>
        <v>226301.59999999998</v>
      </c>
      <c r="AB33" s="100">
        <f>L33*12*0.35/100</f>
        <v>164.64</v>
      </c>
      <c r="AC33" s="101"/>
      <c r="AD33" s="44">
        <f t="shared" si="7"/>
        <v>0.31429999999999997</v>
      </c>
      <c r="AE33" s="102">
        <f t="shared" si="8"/>
        <v>0.31</v>
      </c>
      <c r="AF33" s="102">
        <f t="shared" si="23"/>
        <v>4.2999999999999705E-3</v>
      </c>
      <c r="AH33" s="175">
        <v>89.8</v>
      </c>
      <c r="AI33" s="176">
        <f t="shared" si="9"/>
        <v>14784.671999999999</v>
      </c>
      <c r="AJ33" s="176">
        <f t="shared" si="10"/>
        <v>0.31429999999999997</v>
      </c>
      <c r="AK33" s="103"/>
      <c r="AL33" s="103">
        <f t="shared" si="11"/>
        <v>0</v>
      </c>
      <c r="AM33" s="103">
        <f t="shared" si="12"/>
        <v>0</v>
      </c>
      <c r="AN33" s="7">
        <v>0</v>
      </c>
      <c r="AO33" s="138">
        <f t="shared" si="13"/>
        <v>0</v>
      </c>
      <c r="AP33" s="138">
        <f t="shared" si="14"/>
        <v>0</v>
      </c>
      <c r="AQ33" s="103">
        <f t="shared" si="15"/>
        <v>14784.671999999999</v>
      </c>
      <c r="AR33" s="103">
        <f t="shared" si="15"/>
        <v>0.31429999999999997</v>
      </c>
      <c r="AS33" s="104">
        <f t="shared" si="16"/>
        <v>14582.4</v>
      </c>
      <c r="AT33" s="104">
        <f t="shared" si="24"/>
        <v>202.27199999999903</v>
      </c>
      <c r="AU33" s="103">
        <f t="shared" si="17"/>
        <v>4.8108333333333331</v>
      </c>
      <c r="AV33" s="104">
        <f t="shared" si="18"/>
        <v>4.5008333333333335</v>
      </c>
      <c r="AW33" s="105">
        <f t="shared" si="19"/>
        <v>0.1649659863945579</v>
      </c>
      <c r="AY33" s="150">
        <f t="shared" si="29"/>
        <v>5.3900000000000006</v>
      </c>
      <c r="AZ33" s="151">
        <f t="shared" si="27"/>
        <v>0</v>
      </c>
      <c r="BA33" s="160">
        <f t="shared" si="25"/>
        <v>5.3900000000000006</v>
      </c>
      <c r="BB33" s="164"/>
      <c r="BD33" s="86" t="s">
        <v>106</v>
      </c>
      <c r="BE33" s="86" t="s">
        <v>263</v>
      </c>
      <c r="BF33" s="87" t="s">
        <v>264</v>
      </c>
      <c r="BG33" s="87">
        <v>387000650117</v>
      </c>
      <c r="BH33" s="86" t="s">
        <v>265</v>
      </c>
      <c r="BI33" s="86">
        <v>2222</v>
      </c>
      <c r="BJ33" s="86" t="s">
        <v>266</v>
      </c>
      <c r="BK33" s="86">
        <v>13312250</v>
      </c>
      <c r="BL33" s="86" t="s">
        <v>267</v>
      </c>
      <c r="BM33" s="86" t="s">
        <v>108</v>
      </c>
    </row>
    <row r="34" spans="1:65 16369:16369" s="106" customFormat="1" ht="14.25" customHeight="1" thickBot="1" x14ac:dyDescent="0.25">
      <c r="A34" s="89">
        <v>7.1999999999999995E-2</v>
      </c>
      <c r="B34" s="27">
        <f>VLOOKUP(F34,Planilha3!D:F,3,0)</f>
        <v>5.1478174848522329</v>
      </c>
      <c r="C34" s="90">
        <f t="shared" si="20"/>
        <v>71.497465067392127</v>
      </c>
      <c r="D34" s="90" t="s">
        <v>76</v>
      </c>
      <c r="E34" s="90" t="s">
        <v>80</v>
      </c>
      <c r="F34" s="91">
        <v>900109</v>
      </c>
      <c r="G34" s="91">
        <v>1017027</v>
      </c>
      <c r="H34" s="92" t="s">
        <v>27</v>
      </c>
      <c r="I34" s="93">
        <v>12</v>
      </c>
      <c r="J34" s="93">
        <v>60</v>
      </c>
      <c r="K34" s="94">
        <f t="shared" si="32"/>
        <v>1440</v>
      </c>
      <c r="L34" s="170">
        <v>240</v>
      </c>
      <c r="M34" s="180">
        <f t="shared" si="1"/>
        <v>4</v>
      </c>
      <c r="N34" s="95">
        <f t="shared" si="33"/>
        <v>0.16666666666666666</v>
      </c>
      <c r="O34" s="148">
        <v>134.52000000000001</v>
      </c>
      <c r="P34" s="135">
        <f t="shared" si="21"/>
        <v>11.21</v>
      </c>
      <c r="Q34" s="96">
        <f t="shared" si="3"/>
        <v>0</v>
      </c>
      <c r="R34" s="96">
        <v>0</v>
      </c>
      <c r="S34" s="97">
        <f t="shared" si="4"/>
        <v>0</v>
      </c>
      <c r="T34" s="97">
        <v>0</v>
      </c>
      <c r="U34" s="121">
        <f t="shared" si="22"/>
        <v>0</v>
      </c>
      <c r="V34" s="121">
        <v>0</v>
      </c>
      <c r="W34" s="36">
        <f>VLOOKUP(F34,'[1]Proposta HNK para Tenda'!$F:$T,15,0)</f>
        <v>14.19</v>
      </c>
      <c r="X34" s="36">
        <f>VLOOKUP(F34,'[1]Proposta HNK para Tenda'!$F:$U,16,0)</f>
        <v>14.19</v>
      </c>
      <c r="Y34" s="36"/>
      <c r="Z34" s="98">
        <f t="shared" si="5"/>
        <v>0</v>
      </c>
      <c r="AA34" s="99">
        <f t="shared" si="6"/>
        <v>32284.800000000003</v>
      </c>
      <c r="AB34" s="100">
        <f>L34*12*0.6/100</f>
        <v>17.28</v>
      </c>
      <c r="AC34" s="101"/>
      <c r="AD34" s="44">
        <f t="shared" si="7"/>
        <v>0</v>
      </c>
      <c r="AE34" s="102">
        <f t="shared" si="8"/>
        <v>0</v>
      </c>
      <c r="AF34" s="102">
        <f t="shared" si="23"/>
        <v>0</v>
      </c>
      <c r="AH34" s="137">
        <v>0</v>
      </c>
      <c r="AI34" s="138">
        <f t="shared" si="9"/>
        <v>0</v>
      </c>
      <c r="AJ34" s="138">
        <f t="shared" si="10"/>
        <v>0</v>
      </c>
      <c r="AK34" s="103"/>
      <c r="AL34" s="103">
        <f t="shared" si="11"/>
        <v>0</v>
      </c>
      <c r="AM34" s="103">
        <f t="shared" si="12"/>
        <v>0</v>
      </c>
      <c r="AN34" s="7">
        <v>0</v>
      </c>
      <c r="AO34" s="138">
        <f t="shared" si="13"/>
        <v>0</v>
      </c>
      <c r="AP34" s="138">
        <f t="shared" si="14"/>
        <v>0</v>
      </c>
      <c r="AQ34" s="103">
        <f t="shared" si="15"/>
        <v>0</v>
      </c>
      <c r="AR34" s="103">
        <f t="shared" si="15"/>
        <v>0</v>
      </c>
      <c r="AS34" s="104">
        <f t="shared" si="16"/>
        <v>0</v>
      </c>
      <c r="AT34" s="104">
        <f t="shared" si="24"/>
        <v>0</v>
      </c>
      <c r="AU34" s="103">
        <f t="shared" si="17"/>
        <v>11.21</v>
      </c>
      <c r="AV34" s="104">
        <f t="shared" si="18"/>
        <v>11.21</v>
      </c>
      <c r="AW34" s="105">
        <f t="shared" si="19"/>
        <v>0.21000704721634944</v>
      </c>
      <c r="AY34" s="150">
        <f t="shared" si="29"/>
        <v>14.19</v>
      </c>
      <c r="AZ34" s="151">
        <f t="shared" si="27"/>
        <v>0</v>
      </c>
      <c r="BA34" s="160">
        <f t="shared" si="25"/>
        <v>14.19</v>
      </c>
      <c r="BB34" s="164"/>
      <c r="BD34" s="86" t="s">
        <v>106</v>
      </c>
      <c r="BE34" s="86" t="s">
        <v>263</v>
      </c>
      <c r="BF34" s="87" t="s">
        <v>264</v>
      </c>
      <c r="BG34" s="87">
        <v>387000650117</v>
      </c>
      <c r="BH34" s="86" t="s">
        <v>265</v>
      </c>
      <c r="BI34" s="86">
        <v>2222</v>
      </c>
      <c r="BJ34" s="86" t="s">
        <v>266</v>
      </c>
      <c r="BK34" s="86">
        <v>13312250</v>
      </c>
      <c r="BL34" s="86" t="s">
        <v>267</v>
      </c>
      <c r="BM34" s="86" t="s">
        <v>108</v>
      </c>
    </row>
    <row r="35" spans="1:65 16369:16369" s="106" customFormat="1" ht="14.25" customHeight="1" thickBot="1" x14ac:dyDescent="0.25">
      <c r="A35" s="89">
        <v>4.2000000000000003E-2</v>
      </c>
      <c r="B35" s="27">
        <f>VLOOKUP(F35,Planilha3!D:F,3,0)</f>
        <v>8.3101108017361387</v>
      </c>
      <c r="C35" s="90">
        <f t="shared" si="20"/>
        <v>197.85978099371758</v>
      </c>
      <c r="D35" s="90" t="s">
        <v>76</v>
      </c>
      <c r="E35" s="90" t="s">
        <v>80</v>
      </c>
      <c r="F35" s="93">
        <v>904441</v>
      </c>
      <c r="G35" s="93">
        <v>1147975</v>
      </c>
      <c r="H35" s="92" t="s">
        <v>24</v>
      </c>
      <c r="I35" s="93">
        <v>12</v>
      </c>
      <c r="J35" s="93">
        <v>280</v>
      </c>
      <c r="K35" s="94">
        <f t="shared" si="32"/>
        <v>6720</v>
      </c>
      <c r="L35" s="125">
        <v>6720</v>
      </c>
      <c r="M35" s="180">
        <f t="shared" si="1"/>
        <v>24</v>
      </c>
      <c r="N35" s="95">
        <f t="shared" si="33"/>
        <v>1</v>
      </c>
      <c r="O35" s="148">
        <v>57.73</v>
      </c>
      <c r="P35" s="135">
        <f t="shared" si="21"/>
        <v>4.8108333333333331</v>
      </c>
      <c r="Q35" s="108">
        <f t="shared" si="3"/>
        <v>3</v>
      </c>
      <c r="R35" s="108">
        <v>0.25</v>
      </c>
      <c r="S35" s="122">
        <f t="shared" si="4"/>
        <v>0.72</v>
      </c>
      <c r="T35" s="122">
        <v>0.06</v>
      </c>
      <c r="U35" s="121">
        <f t="shared" si="22"/>
        <v>0.31</v>
      </c>
      <c r="V35" s="121">
        <v>0.31</v>
      </c>
      <c r="W35" s="36">
        <f>VLOOKUP(F35,'[1]Proposta HNK para Tenda'!$F:$T,15,0)</f>
        <v>6.09</v>
      </c>
      <c r="X35" s="36">
        <f>VLOOKUP(F35,'[1]Proposta HNK para Tenda'!$F:$U,16,0)</f>
        <v>5.3900000000000006</v>
      </c>
      <c r="Y35" s="36"/>
      <c r="Z35" s="98">
        <f t="shared" si="5"/>
        <v>24998.399999999998</v>
      </c>
      <c r="AA35" s="99">
        <f t="shared" si="6"/>
        <v>387945.6</v>
      </c>
      <c r="AB35" s="100">
        <f>L35*12*0.35/100</f>
        <v>282.24</v>
      </c>
      <c r="AC35" s="101"/>
      <c r="AD35" s="44">
        <f t="shared" si="7"/>
        <v>0.31429999999999997</v>
      </c>
      <c r="AE35" s="102">
        <f t="shared" si="8"/>
        <v>0.31</v>
      </c>
      <c r="AF35" s="102">
        <f t="shared" si="23"/>
        <v>4.2999999999999705E-3</v>
      </c>
      <c r="AH35" s="175">
        <v>89.8</v>
      </c>
      <c r="AI35" s="176">
        <f t="shared" si="9"/>
        <v>25345.151999999998</v>
      </c>
      <c r="AJ35" s="176">
        <f t="shared" si="10"/>
        <v>0.31429999999999997</v>
      </c>
      <c r="AK35" s="103"/>
      <c r="AL35" s="103">
        <f t="shared" si="11"/>
        <v>0</v>
      </c>
      <c r="AM35" s="103">
        <f t="shared" si="12"/>
        <v>0</v>
      </c>
      <c r="AN35" s="7">
        <v>0</v>
      </c>
      <c r="AO35" s="138">
        <f t="shared" si="13"/>
        <v>0</v>
      </c>
      <c r="AP35" s="138">
        <f t="shared" si="14"/>
        <v>0</v>
      </c>
      <c r="AQ35" s="103">
        <f t="shared" si="15"/>
        <v>25345.151999999998</v>
      </c>
      <c r="AR35" s="103">
        <f t="shared" si="15"/>
        <v>0.31429999999999997</v>
      </c>
      <c r="AS35" s="104">
        <f t="shared" si="16"/>
        <v>24998.399999999998</v>
      </c>
      <c r="AT35" s="104">
        <f t="shared" si="24"/>
        <v>346.75200000000041</v>
      </c>
      <c r="AU35" s="103">
        <f t="shared" si="17"/>
        <v>4.8108333333333331</v>
      </c>
      <c r="AV35" s="104">
        <f t="shared" si="18"/>
        <v>4.5008333333333335</v>
      </c>
      <c r="AW35" s="105">
        <f t="shared" si="19"/>
        <v>0.1649659863945579</v>
      </c>
      <c r="AY35" s="150">
        <f t="shared" si="29"/>
        <v>5.3900000000000006</v>
      </c>
      <c r="AZ35" s="151">
        <f t="shared" si="27"/>
        <v>0</v>
      </c>
      <c r="BA35" s="160">
        <f t="shared" si="25"/>
        <v>5.3900000000000006</v>
      </c>
      <c r="BB35" s="164"/>
      <c r="BD35" s="86" t="s">
        <v>106</v>
      </c>
      <c r="BE35" s="86" t="s">
        <v>263</v>
      </c>
      <c r="BF35" s="87" t="s">
        <v>264</v>
      </c>
      <c r="BG35" s="87">
        <v>387000650117</v>
      </c>
      <c r="BH35" s="86" t="s">
        <v>265</v>
      </c>
      <c r="BI35" s="86">
        <v>2222</v>
      </c>
      <c r="BJ35" s="86" t="s">
        <v>266</v>
      </c>
      <c r="BK35" s="86">
        <v>13312250</v>
      </c>
      <c r="BL35" s="86" t="s">
        <v>267</v>
      </c>
      <c r="BM35" s="86" t="s">
        <v>108</v>
      </c>
    </row>
    <row r="36" spans="1:65 16369:16369" s="106" customFormat="1" ht="14.25" customHeight="1" thickBot="1" x14ac:dyDescent="0.25">
      <c r="A36" s="89">
        <v>7.1999999999999995E-2</v>
      </c>
      <c r="B36" s="27">
        <f>VLOOKUP(F36,Planilha3!D:F,3,0)</f>
        <v>6.1719832816502631</v>
      </c>
      <c r="C36" s="90">
        <f t="shared" si="20"/>
        <v>85.721990022920323</v>
      </c>
      <c r="D36" s="90" t="s">
        <v>76</v>
      </c>
      <c r="E36" s="90" t="s">
        <v>80</v>
      </c>
      <c r="F36" s="93">
        <v>901162</v>
      </c>
      <c r="G36" s="93">
        <v>1046689</v>
      </c>
      <c r="H36" s="92" t="s">
        <v>25</v>
      </c>
      <c r="I36" s="93">
        <v>12</v>
      </c>
      <c r="J36" s="93">
        <v>60</v>
      </c>
      <c r="K36" s="94">
        <f t="shared" si="32"/>
        <v>1440</v>
      </c>
      <c r="L36" s="170">
        <v>120</v>
      </c>
      <c r="M36" s="180">
        <f t="shared" si="1"/>
        <v>2</v>
      </c>
      <c r="N36" s="95">
        <f t="shared" si="33"/>
        <v>8.3333333333333329E-2</v>
      </c>
      <c r="O36" s="148">
        <v>134.52000000000001</v>
      </c>
      <c r="P36" s="135">
        <f t="shared" si="21"/>
        <v>11.21</v>
      </c>
      <c r="Q36" s="96">
        <f t="shared" si="3"/>
        <v>0</v>
      </c>
      <c r="R36" s="96">
        <v>0</v>
      </c>
      <c r="S36" s="97">
        <f t="shared" si="4"/>
        <v>0</v>
      </c>
      <c r="T36" s="97">
        <v>0</v>
      </c>
      <c r="U36" s="121">
        <f t="shared" si="22"/>
        <v>0</v>
      </c>
      <c r="V36" s="121">
        <v>0</v>
      </c>
      <c r="W36" s="36">
        <f>VLOOKUP(F36,'[1]Proposta HNK para Tenda'!$F:$T,15,0)</f>
        <v>14.19</v>
      </c>
      <c r="X36" s="36">
        <f>VLOOKUP(F36,'[1]Proposta HNK para Tenda'!$F:$U,16,0)</f>
        <v>14.19</v>
      </c>
      <c r="Y36" s="36"/>
      <c r="Z36" s="98">
        <f t="shared" si="5"/>
        <v>0</v>
      </c>
      <c r="AA36" s="99">
        <f t="shared" si="6"/>
        <v>16142.400000000001</v>
      </c>
      <c r="AB36" s="100">
        <f>L36*12*0.6/100</f>
        <v>8.64</v>
      </c>
      <c r="AC36" s="101"/>
      <c r="AD36" s="44">
        <f t="shared" si="7"/>
        <v>0</v>
      </c>
      <c r="AE36" s="102">
        <f t="shared" si="8"/>
        <v>0</v>
      </c>
      <c r="AF36" s="102">
        <f t="shared" si="23"/>
        <v>0</v>
      </c>
      <c r="AH36" s="137">
        <v>0</v>
      </c>
      <c r="AI36" s="138">
        <f t="shared" si="9"/>
        <v>0</v>
      </c>
      <c r="AJ36" s="138">
        <f t="shared" si="10"/>
        <v>0</v>
      </c>
      <c r="AK36" s="103"/>
      <c r="AL36" s="103">
        <f t="shared" si="11"/>
        <v>0</v>
      </c>
      <c r="AM36" s="103">
        <f t="shared" si="12"/>
        <v>0</v>
      </c>
      <c r="AN36" s="7">
        <v>0</v>
      </c>
      <c r="AO36" s="138">
        <f t="shared" si="13"/>
        <v>0</v>
      </c>
      <c r="AP36" s="138">
        <f t="shared" si="14"/>
        <v>0</v>
      </c>
      <c r="AQ36" s="103">
        <f t="shared" si="15"/>
        <v>0</v>
      </c>
      <c r="AR36" s="103">
        <f t="shared" si="15"/>
        <v>0</v>
      </c>
      <c r="AS36" s="104">
        <f t="shared" si="16"/>
        <v>0</v>
      </c>
      <c r="AT36" s="104">
        <f t="shared" si="24"/>
        <v>0</v>
      </c>
      <c r="AU36" s="103">
        <f t="shared" si="17"/>
        <v>11.21</v>
      </c>
      <c r="AV36" s="104">
        <f t="shared" si="18"/>
        <v>11.21</v>
      </c>
      <c r="AW36" s="105">
        <f t="shared" si="19"/>
        <v>0.21000704721634944</v>
      </c>
      <c r="AY36" s="150">
        <f t="shared" si="29"/>
        <v>14.19</v>
      </c>
      <c r="AZ36" s="151">
        <f t="shared" si="27"/>
        <v>0</v>
      </c>
      <c r="BA36" s="160">
        <f t="shared" si="25"/>
        <v>14.19</v>
      </c>
      <c r="BB36" s="164"/>
      <c r="BD36" s="86" t="s">
        <v>106</v>
      </c>
      <c r="BE36" s="86" t="s">
        <v>263</v>
      </c>
      <c r="BF36" s="87" t="s">
        <v>264</v>
      </c>
      <c r="BG36" s="87">
        <v>387000650117</v>
      </c>
      <c r="BH36" s="86" t="s">
        <v>265</v>
      </c>
      <c r="BI36" s="86">
        <v>2222</v>
      </c>
      <c r="BJ36" s="86" t="s">
        <v>266</v>
      </c>
      <c r="BK36" s="86">
        <v>13312250</v>
      </c>
      <c r="BL36" s="86" t="s">
        <v>267</v>
      </c>
      <c r="BM36" s="86" t="s">
        <v>108</v>
      </c>
    </row>
    <row r="37" spans="1:65 16369:16369" s="106" customFormat="1" ht="14.25" customHeight="1" thickBot="1" x14ac:dyDescent="0.25">
      <c r="A37" s="89">
        <v>4.2000000000000003E-2</v>
      </c>
      <c r="B37" s="27">
        <f>VLOOKUP(F37,Planilha3!D:F,3,0)</f>
        <v>21.928825538868569</v>
      </c>
      <c r="C37" s="90">
        <f t="shared" si="20"/>
        <v>522.114893782585</v>
      </c>
      <c r="D37" s="90" t="s">
        <v>76</v>
      </c>
      <c r="E37" s="90" t="s">
        <v>80</v>
      </c>
      <c r="F37" s="107">
        <v>904193</v>
      </c>
      <c r="G37" s="107">
        <v>1150647</v>
      </c>
      <c r="H37" s="92" t="s">
        <v>21</v>
      </c>
      <c r="I37" s="93">
        <v>12</v>
      </c>
      <c r="J37" s="93">
        <v>280</v>
      </c>
      <c r="K37" s="94">
        <f t="shared" si="32"/>
        <v>6720</v>
      </c>
      <c r="L37" s="125">
        <v>6720</v>
      </c>
      <c r="M37" s="180">
        <f t="shared" si="1"/>
        <v>24</v>
      </c>
      <c r="N37" s="95">
        <f t="shared" si="33"/>
        <v>1</v>
      </c>
      <c r="O37" s="148">
        <v>57.73</v>
      </c>
      <c r="P37" s="135">
        <f t="shared" si="21"/>
        <v>4.8108333333333331</v>
      </c>
      <c r="Q37" s="108">
        <f t="shared" si="3"/>
        <v>3</v>
      </c>
      <c r="R37" s="108">
        <v>0.25</v>
      </c>
      <c r="S37" s="122">
        <f t="shared" si="4"/>
        <v>0.72</v>
      </c>
      <c r="T37" s="122">
        <v>0.06</v>
      </c>
      <c r="U37" s="121">
        <f t="shared" si="22"/>
        <v>0.31</v>
      </c>
      <c r="V37" s="121">
        <v>0.31</v>
      </c>
      <c r="W37" s="36">
        <f>VLOOKUP(F37,'[1]Proposta HNK para Tenda'!$F:$T,15,0)</f>
        <v>6.09</v>
      </c>
      <c r="X37" s="36">
        <f>VLOOKUP(F37,'[1]Proposta HNK para Tenda'!$F:$U,16,0)</f>
        <v>5.3900000000000006</v>
      </c>
      <c r="Y37" s="36"/>
      <c r="Z37" s="98">
        <f t="shared" si="5"/>
        <v>24998.399999999998</v>
      </c>
      <c r="AA37" s="99">
        <f t="shared" si="6"/>
        <v>387945.6</v>
      </c>
      <c r="AB37" s="100">
        <f>L37*12*0.35/100</f>
        <v>282.24</v>
      </c>
      <c r="AC37" s="101"/>
      <c r="AD37" s="44">
        <f t="shared" si="7"/>
        <v>0.31429999999999997</v>
      </c>
      <c r="AE37" s="102">
        <f t="shared" si="8"/>
        <v>0.31</v>
      </c>
      <c r="AF37" s="102">
        <f t="shared" si="23"/>
        <v>4.2999999999999705E-3</v>
      </c>
      <c r="AH37" s="175">
        <v>89.8</v>
      </c>
      <c r="AI37" s="176">
        <f t="shared" si="9"/>
        <v>25345.151999999998</v>
      </c>
      <c r="AJ37" s="176">
        <f t="shared" si="10"/>
        <v>0.31429999999999997</v>
      </c>
      <c r="AK37" s="103"/>
      <c r="AL37" s="103">
        <f t="shared" si="11"/>
        <v>0</v>
      </c>
      <c r="AM37" s="103">
        <f t="shared" si="12"/>
        <v>0</v>
      </c>
      <c r="AN37" s="7">
        <v>0</v>
      </c>
      <c r="AO37" s="138">
        <f t="shared" si="13"/>
        <v>0</v>
      </c>
      <c r="AP37" s="138">
        <f t="shared" si="14"/>
        <v>0</v>
      </c>
      <c r="AQ37" s="103">
        <f t="shared" si="15"/>
        <v>25345.151999999998</v>
      </c>
      <c r="AR37" s="103">
        <f t="shared" si="15"/>
        <v>0.31429999999999997</v>
      </c>
      <c r="AS37" s="104">
        <f t="shared" si="16"/>
        <v>24998.399999999998</v>
      </c>
      <c r="AT37" s="104">
        <f t="shared" si="24"/>
        <v>346.75200000000041</v>
      </c>
      <c r="AU37" s="103">
        <f t="shared" si="17"/>
        <v>4.8108333333333331</v>
      </c>
      <c r="AV37" s="104">
        <f t="shared" si="18"/>
        <v>4.5008333333333335</v>
      </c>
      <c r="AW37" s="105">
        <f t="shared" si="19"/>
        <v>0.1649659863945579</v>
      </c>
      <c r="AY37" s="150">
        <f t="shared" si="29"/>
        <v>5.3900000000000006</v>
      </c>
      <c r="AZ37" s="151">
        <f t="shared" si="27"/>
        <v>0</v>
      </c>
      <c r="BA37" s="160">
        <f t="shared" si="25"/>
        <v>5.3900000000000006</v>
      </c>
      <c r="BB37" s="164"/>
      <c r="BD37" s="86" t="s">
        <v>106</v>
      </c>
      <c r="BE37" s="86" t="s">
        <v>263</v>
      </c>
      <c r="BF37" s="87" t="s">
        <v>264</v>
      </c>
      <c r="BG37" s="87">
        <v>387000650117</v>
      </c>
      <c r="BH37" s="86" t="s">
        <v>265</v>
      </c>
      <c r="BI37" s="86">
        <v>2222</v>
      </c>
      <c r="BJ37" s="86" t="s">
        <v>266</v>
      </c>
      <c r="BK37" s="86">
        <v>13312250</v>
      </c>
      <c r="BL37" s="86" t="s">
        <v>267</v>
      </c>
      <c r="BM37" s="86" t="s">
        <v>108</v>
      </c>
    </row>
    <row r="38" spans="1:65 16369:16369" s="106" customFormat="1" ht="14.25" customHeight="1" thickBot="1" x14ac:dyDescent="0.25">
      <c r="A38" s="89">
        <v>4.2000000000000003E-2</v>
      </c>
      <c r="B38" s="27">
        <f>VLOOKUP(F38,Planilha3!D:F,3,0)</f>
        <v>12.387493325971475</v>
      </c>
      <c r="C38" s="90">
        <f t="shared" si="20"/>
        <v>294.94031728503512</v>
      </c>
      <c r="D38" s="90" t="s">
        <v>76</v>
      </c>
      <c r="E38" s="90" t="s">
        <v>81</v>
      </c>
      <c r="F38" s="107">
        <v>904612</v>
      </c>
      <c r="G38" s="107">
        <v>1155188</v>
      </c>
      <c r="H38" s="92" t="s">
        <v>20</v>
      </c>
      <c r="I38" s="93">
        <v>12</v>
      </c>
      <c r="J38" s="93">
        <v>280</v>
      </c>
      <c r="K38" s="94">
        <f t="shared" si="32"/>
        <v>6720</v>
      </c>
      <c r="L38" s="125">
        <v>560</v>
      </c>
      <c r="M38" s="180">
        <f>L38/J38</f>
        <v>2</v>
      </c>
      <c r="N38" s="95">
        <f>L38/K38</f>
        <v>8.3333333333333329E-2</v>
      </c>
      <c r="O38" s="148">
        <v>85.23</v>
      </c>
      <c r="P38" s="135">
        <f t="shared" si="21"/>
        <v>7.1025</v>
      </c>
      <c r="Q38" s="108">
        <f t="shared" si="3"/>
        <v>10.8</v>
      </c>
      <c r="R38" s="108">
        <v>0.9</v>
      </c>
      <c r="S38" s="122">
        <f t="shared" si="4"/>
        <v>0.24</v>
      </c>
      <c r="T38" s="122">
        <v>0.02</v>
      </c>
      <c r="U38" s="121">
        <f t="shared" si="22"/>
        <v>0.92</v>
      </c>
      <c r="V38" s="121">
        <v>0.92</v>
      </c>
      <c r="W38" s="36">
        <f>VLOOKUP(F38,'[1]Proposta HNK para Tenda'!$F:$T,15,0)</f>
        <v>8.99</v>
      </c>
      <c r="X38" s="36">
        <f>VLOOKUP(F38,'[1]Proposta HNK para Tenda'!$F:$U,16,0)</f>
        <v>6.99</v>
      </c>
      <c r="Y38" s="36"/>
      <c r="Z38" s="98">
        <f t="shared" si="5"/>
        <v>6182.4000000000005</v>
      </c>
      <c r="AA38" s="99">
        <f t="shared" si="6"/>
        <v>47728.800000000003</v>
      </c>
      <c r="AB38" s="100">
        <f>L38*12*0.35/100</f>
        <v>23.52</v>
      </c>
      <c r="AC38" s="101"/>
      <c r="AD38" s="44">
        <f t="shared" si="7"/>
        <v>0.93051000000000006</v>
      </c>
      <c r="AE38" s="102">
        <f t="shared" si="8"/>
        <v>0.92</v>
      </c>
      <c r="AF38" s="102">
        <f t="shared" si="23"/>
        <v>1.0510000000000019E-2</v>
      </c>
      <c r="AH38" s="175">
        <v>265.86</v>
      </c>
      <c r="AI38" s="176">
        <f t="shared" si="9"/>
        <v>6253.0272000000004</v>
      </c>
      <c r="AJ38" s="176">
        <f t="shared" si="10"/>
        <v>0.93051000000000006</v>
      </c>
      <c r="AK38" s="103"/>
      <c r="AL38" s="103">
        <f t="shared" si="11"/>
        <v>0</v>
      </c>
      <c r="AM38" s="103">
        <f t="shared" si="12"/>
        <v>0</v>
      </c>
      <c r="AN38" s="7">
        <v>0</v>
      </c>
      <c r="AO38" s="138">
        <f t="shared" si="13"/>
        <v>0</v>
      </c>
      <c r="AP38" s="138">
        <f t="shared" si="14"/>
        <v>0</v>
      </c>
      <c r="AQ38" s="103">
        <f t="shared" si="15"/>
        <v>6253.0272000000004</v>
      </c>
      <c r="AR38" s="103">
        <f t="shared" si="15"/>
        <v>0.93051000000000006</v>
      </c>
      <c r="AS38" s="104">
        <f t="shared" si="16"/>
        <v>6182.4000000000005</v>
      </c>
      <c r="AT38" s="104">
        <f t="shared" si="24"/>
        <v>70.627199999999903</v>
      </c>
      <c r="AU38" s="103">
        <f t="shared" si="17"/>
        <v>7.1025</v>
      </c>
      <c r="AV38" s="104">
        <f t="shared" si="18"/>
        <v>6.1825000000000001</v>
      </c>
      <c r="AW38" s="105">
        <f t="shared" si="19"/>
        <v>0.11552217453505008</v>
      </c>
      <c r="AY38" s="150">
        <f t="shared" si="29"/>
        <v>6.99</v>
      </c>
      <c r="AZ38" s="151">
        <f t="shared" si="27"/>
        <v>0</v>
      </c>
      <c r="BA38" s="160">
        <f t="shared" si="25"/>
        <v>6.99</v>
      </c>
      <c r="BB38" s="164"/>
      <c r="BD38" s="86" t="s">
        <v>106</v>
      </c>
      <c r="BE38" s="86" t="s">
        <v>263</v>
      </c>
      <c r="BF38" s="87" t="s">
        <v>264</v>
      </c>
      <c r="BG38" s="87">
        <v>387000650117</v>
      </c>
      <c r="BH38" s="86" t="s">
        <v>265</v>
      </c>
      <c r="BI38" s="86">
        <v>2222</v>
      </c>
      <c r="BJ38" s="86" t="s">
        <v>266</v>
      </c>
      <c r="BK38" s="86">
        <v>13312250</v>
      </c>
      <c r="BL38" s="86" t="s">
        <v>267</v>
      </c>
      <c r="BM38" s="86" t="s">
        <v>108</v>
      </c>
    </row>
    <row r="39" spans="1:65 16369:16369" s="106" customFormat="1" ht="14.25" customHeight="1" thickBot="1" x14ac:dyDescent="0.25">
      <c r="A39" s="109">
        <v>8.5199999999999998E-2</v>
      </c>
      <c r="B39" s="27">
        <f>VLOOKUP(F39,Planilha3!D:F,3,0)</f>
        <v>5.0098310064648448</v>
      </c>
      <c r="C39" s="90">
        <f t="shared" si="20"/>
        <v>58.800833409211798</v>
      </c>
      <c r="D39" s="90" t="s">
        <v>76</v>
      </c>
      <c r="E39" s="90" t="s">
        <v>81</v>
      </c>
      <c r="F39" s="107">
        <v>904602</v>
      </c>
      <c r="G39" s="107">
        <v>1160869</v>
      </c>
      <c r="H39" s="92" t="s">
        <v>19</v>
      </c>
      <c r="I39" s="93">
        <v>24</v>
      </c>
      <c r="J39" s="93">
        <v>56</v>
      </c>
      <c r="K39" s="94">
        <f t="shared" si="32"/>
        <v>1344</v>
      </c>
      <c r="L39" s="170">
        <v>168</v>
      </c>
      <c r="M39" s="180">
        <f>L39/J39</f>
        <v>3</v>
      </c>
      <c r="N39" s="95">
        <f>L39/K39</f>
        <v>0.125</v>
      </c>
      <c r="O39" s="148">
        <v>208.37</v>
      </c>
      <c r="P39" s="135">
        <f t="shared" si="21"/>
        <v>8.6820833333333329</v>
      </c>
      <c r="Q39" s="96">
        <f t="shared" si="3"/>
        <v>0</v>
      </c>
      <c r="R39" s="96">
        <v>0</v>
      </c>
      <c r="S39" s="97">
        <f t="shared" si="4"/>
        <v>0</v>
      </c>
      <c r="T39" s="97">
        <v>0</v>
      </c>
      <c r="U39" s="121">
        <f t="shared" si="22"/>
        <v>0</v>
      </c>
      <c r="V39" s="121">
        <v>0</v>
      </c>
      <c r="W39" s="36">
        <f>VLOOKUP(F39,'[1]Proposta HNK para Tenda'!$F:$T,15,0)</f>
        <v>10.99</v>
      </c>
      <c r="X39" s="36">
        <f>VLOOKUP(F39,'[1]Proposta HNK para Tenda'!$F:$U,16,0)</f>
        <v>10.99</v>
      </c>
      <c r="Y39" s="36"/>
      <c r="Z39" s="98">
        <f t="shared" si="5"/>
        <v>0</v>
      </c>
      <c r="AA39" s="99">
        <f t="shared" si="6"/>
        <v>35006.160000000003</v>
      </c>
      <c r="AB39" s="100">
        <f>L39*24*0.355/100</f>
        <v>14.313599999999999</v>
      </c>
      <c r="AC39" s="101"/>
      <c r="AD39" s="44">
        <f t="shared" si="7"/>
        <v>0</v>
      </c>
      <c r="AE39" s="102">
        <f t="shared" si="8"/>
        <v>0</v>
      </c>
      <c r="AF39" s="102">
        <f t="shared" si="23"/>
        <v>0</v>
      </c>
      <c r="AH39" s="137">
        <v>0</v>
      </c>
      <c r="AI39" s="103">
        <f t="shared" si="9"/>
        <v>0</v>
      </c>
      <c r="AJ39" s="103">
        <f t="shared" si="10"/>
        <v>0</v>
      </c>
      <c r="AK39" s="103"/>
      <c r="AL39" s="103">
        <f t="shared" si="11"/>
        <v>0</v>
      </c>
      <c r="AM39" s="103">
        <f t="shared" si="12"/>
        <v>0</v>
      </c>
      <c r="AN39" s="7">
        <v>0</v>
      </c>
      <c r="AO39" s="138">
        <f t="shared" si="13"/>
        <v>0</v>
      </c>
      <c r="AP39" s="138">
        <f t="shared" si="14"/>
        <v>0</v>
      </c>
      <c r="AQ39" s="103">
        <f t="shared" si="15"/>
        <v>0</v>
      </c>
      <c r="AR39" s="103">
        <f t="shared" si="15"/>
        <v>0</v>
      </c>
      <c r="AS39" s="104">
        <f t="shared" si="16"/>
        <v>0</v>
      </c>
      <c r="AT39" s="104">
        <f t="shared" si="24"/>
        <v>0</v>
      </c>
      <c r="AU39" s="103">
        <f t="shared" si="17"/>
        <v>8.6820833333333329</v>
      </c>
      <c r="AV39" s="104">
        <f t="shared" si="18"/>
        <v>8.6820833333333329</v>
      </c>
      <c r="AW39" s="105">
        <f t="shared" si="19"/>
        <v>0.21000151653017901</v>
      </c>
      <c r="AY39" s="150">
        <f t="shared" si="29"/>
        <v>10.99</v>
      </c>
      <c r="AZ39" s="151">
        <f t="shared" si="27"/>
        <v>0</v>
      </c>
      <c r="BA39" s="160">
        <f t="shared" si="25"/>
        <v>10.99</v>
      </c>
      <c r="BB39" s="164"/>
      <c r="BD39" s="86" t="s">
        <v>106</v>
      </c>
      <c r="BE39" s="86" t="s">
        <v>263</v>
      </c>
      <c r="BF39" s="87" t="s">
        <v>264</v>
      </c>
      <c r="BG39" s="87">
        <v>387000650117</v>
      </c>
      <c r="BH39" s="86" t="s">
        <v>265</v>
      </c>
      <c r="BI39" s="86">
        <v>2222</v>
      </c>
      <c r="BJ39" s="86" t="s">
        <v>266</v>
      </c>
      <c r="BK39" s="86">
        <v>13312250</v>
      </c>
      <c r="BL39" s="86" t="s">
        <v>267</v>
      </c>
      <c r="BM39" s="86" t="s">
        <v>108</v>
      </c>
    </row>
    <row r="40" spans="1:65 16369:16369" s="106" customFormat="1" ht="14.25" customHeight="1" thickBot="1" x14ac:dyDescent="0.25">
      <c r="A40" s="89">
        <v>4.2000000000000003E-2</v>
      </c>
      <c r="B40" s="27">
        <f>VLOOKUP(F40,Planilha3!D:F,3,0)</f>
        <v>17.452561060258553</v>
      </c>
      <c r="C40" s="90">
        <f t="shared" si="20"/>
        <v>415.53716810139412</v>
      </c>
      <c r="D40" s="90" t="s">
        <v>76</v>
      </c>
      <c r="E40" s="90" t="s">
        <v>79</v>
      </c>
      <c r="F40" s="107">
        <v>903681</v>
      </c>
      <c r="G40" s="107">
        <v>1110090</v>
      </c>
      <c r="H40" s="92" t="s">
        <v>18</v>
      </c>
      <c r="I40" s="93">
        <v>12</v>
      </c>
      <c r="J40" s="93">
        <v>280</v>
      </c>
      <c r="K40" s="94">
        <f>J40*24</f>
        <v>6720</v>
      </c>
      <c r="L40" s="125">
        <v>3920</v>
      </c>
      <c r="M40" s="180">
        <f t="shared" si="1"/>
        <v>14</v>
      </c>
      <c r="N40" s="95">
        <f t="shared" si="33"/>
        <v>0.58333333333333337</v>
      </c>
      <c r="O40" s="148">
        <v>53.94</v>
      </c>
      <c r="P40" s="135">
        <f t="shared" si="21"/>
        <v>4.4950000000000001</v>
      </c>
      <c r="Q40" s="108">
        <f t="shared" si="3"/>
        <v>3.24</v>
      </c>
      <c r="R40" s="108">
        <v>0.27</v>
      </c>
      <c r="S40" s="122">
        <f t="shared" si="4"/>
        <v>0</v>
      </c>
      <c r="T40" s="122">
        <v>0</v>
      </c>
      <c r="U40" s="121">
        <f t="shared" si="22"/>
        <v>0.27</v>
      </c>
      <c r="V40" s="121">
        <v>0.27</v>
      </c>
      <c r="W40" s="36">
        <v>5.69</v>
      </c>
      <c r="X40" s="36">
        <v>5.0900000000000007</v>
      </c>
      <c r="Y40" s="36"/>
      <c r="Z40" s="98">
        <f t="shared" si="5"/>
        <v>12700.800000000001</v>
      </c>
      <c r="AA40" s="99">
        <f t="shared" si="6"/>
        <v>211444.8</v>
      </c>
      <c r="AB40" s="100">
        <f>L40*12*0.35/100</f>
        <v>164.64</v>
      </c>
      <c r="AC40" s="101"/>
      <c r="AD40" s="44">
        <f t="shared" si="7"/>
        <v>0.26690999999999998</v>
      </c>
      <c r="AE40" s="102">
        <f t="shared" si="8"/>
        <v>0.27</v>
      </c>
      <c r="AF40" s="102">
        <f t="shared" si="23"/>
        <v>-3.0900000000000372E-3</v>
      </c>
      <c r="AH40" s="175">
        <v>76.260000000000005</v>
      </c>
      <c r="AI40" s="176">
        <f t="shared" si="9"/>
        <v>12555.446399999999</v>
      </c>
      <c r="AJ40" s="176">
        <f t="shared" si="10"/>
        <v>0.26690999999999998</v>
      </c>
      <c r="AK40" s="103"/>
      <c r="AL40" s="103">
        <f t="shared" si="11"/>
        <v>0</v>
      </c>
      <c r="AM40" s="103">
        <f t="shared" si="12"/>
        <v>0</v>
      </c>
      <c r="AN40" s="7">
        <v>0</v>
      </c>
      <c r="AO40" s="138">
        <f t="shared" si="13"/>
        <v>0</v>
      </c>
      <c r="AP40" s="138">
        <f t="shared" si="14"/>
        <v>0</v>
      </c>
      <c r="AQ40" s="103">
        <f t="shared" si="15"/>
        <v>12555.446399999999</v>
      </c>
      <c r="AR40" s="103">
        <f t="shared" si="15"/>
        <v>0.26690999999999998</v>
      </c>
      <c r="AS40" s="104">
        <f t="shared" si="16"/>
        <v>12700.800000000001</v>
      </c>
      <c r="AT40" s="104">
        <f t="shared" si="24"/>
        <v>-145.35360000000219</v>
      </c>
      <c r="AU40" s="103">
        <f t="shared" si="17"/>
        <v>4.4950000000000001</v>
      </c>
      <c r="AV40" s="104">
        <f t="shared" si="18"/>
        <v>4.2249999999999996</v>
      </c>
      <c r="AW40" s="105">
        <f t="shared" si="19"/>
        <v>0.16994106090373301</v>
      </c>
      <c r="AY40" s="150">
        <f t="shared" si="29"/>
        <v>5.0900000000000007</v>
      </c>
      <c r="AZ40" s="151">
        <f t="shared" si="27"/>
        <v>0</v>
      </c>
      <c r="BA40" s="160">
        <f t="shared" si="25"/>
        <v>5.0900000000000007</v>
      </c>
      <c r="BB40" s="164"/>
      <c r="BD40" s="86" t="s">
        <v>106</v>
      </c>
      <c r="BE40" s="86" t="s">
        <v>263</v>
      </c>
      <c r="BF40" s="87" t="s">
        <v>264</v>
      </c>
      <c r="BG40" s="87">
        <v>387000650117</v>
      </c>
      <c r="BH40" s="86" t="s">
        <v>265</v>
      </c>
      <c r="BI40" s="86">
        <v>2222</v>
      </c>
      <c r="BJ40" s="86" t="s">
        <v>266</v>
      </c>
      <c r="BK40" s="86">
        <v>13312250</v>
      </c>
      <c r="BL40" s="86" t="s">
        <v>267</v>
      </c>
      <c r="BM40" s="86" t="s">
        <v>108</v>
      </c>
    </row>
    <row r="41" spans="1:65 16369:16369" s="106" customFormat="1" ht="14.25" customHeight="1" thickBot="1" x14ac:dyDescent="0.25">
      <c r="A41" s="109">
        <v>4.2599999999999999E-2</v>
      </c>
      <c r="B41" s="27">
        <f>VLOOKUP(F41,Planilha3!D:F,3,0)</f>
        <v>5.894933361411514</v>
      </c>
      <c r="C41" s="90">
        <f t="shared" si="20"/>
        <v>138.37871740402616</v>
      </c>
      <c r="D41" s="90" t="s">
        <v>76</v>
      </c>
      <c r="E41" s="90" t="s">
        <v>79</v>
      </c>
      <c r="F41" s="107">
        <v>903741</v>
      </c>
      <c r="G41" s="107">
        <v>1080284</v>
      </c>
      <c r="H41" s="92" t="s">
        <v>17</v>
      </c>
      <c r="I41" s="93">
        <v>12</v>
      </c>
      <c r="J41" s="93">
        <v>175</v>
      </c>
      <c r="K41" s="94">
        <f t="shared" ref="K41:K47" si="34">J41*24</f>
        <v>4200</v>
      </c>
      <c r="L41" s="170">
        <v>700</v>
      </c>
      <c r="M41" s="180">
        <f t="shared" si="1"/>
        <v>4</v>
      </c>
      <c r="N41" s="95">
        <f t="shared" si="33"/>
        <v>0.16666666666666666</v>
      </c>
      <c r="O41" s="148">
        <v>64.37</v>
      </c>
      <c r="P41" s="135">
        <f t="shared" si="21"/>
        <v>5.3641666666666667</v>
      </c>
      <c r="Q41" s="96">
        <f t="shared" si="3"/>
        <v>0</v>
      </c>
      <c r="R41" s="96">
        <v>0</v>
      </c>
      <c r="S41" s="97">
        <f t="shared" si="4"/>
        <v>0</v>
      </c>
      <c r="T41" s="97">
        <v>0</v>
      </c>
      <c r="U41" s="121">
        <f t="shared" si="22"/>
        <v>0</v>
      </c>
      <c r="V41" s="121">
        <v>0</v>
      </c>
      <c r="W41" s="36">
        <v>6.7900000000000009</v>
      </c>
      <c r="X41" s="36">
        <v>6.7900000000000009</v>
      </c>
      <c r="Y41" s="36"/>
      <c r="Z41" s="98">
        <f t="shared" si="5"/>
        <v>0</v>
      </c>
      <c r="AA41" s="99">
        <f t="shared" si="6"/>
        <v>45059</v>
      </c>
      <c r="AB41" s="100">
        <f>L41*12*0.355/100</f>
        <v>29.82</v>
      </c>
      <c r="AC41" s="101"/>
      <c r="AD41" s="44">
        <f t="shared" si="7"/>
        <v>0</v>
      </c>
      <c r="AE41" s="102">
        <f t="shared" si="8"/>
        <v>0</v>
      </c>
      <c r="AF41" s="102">
        <f t="shared" si="23"/>
        <v>0</v>
      </c>
      <c r="AH41" s="137">
        <v>0</v>
      </c>
      <c r="AI41" s="103">
        <f t="shared" si="9"/>
        <v>0</v>
      </c>
      <c r="AJ41" s="103">
        <f t="shared" si="10"/>
        <v>0</v>
      </c>
      <c r="AK41" s="103"/>
      <c r="AL41" s="103">
        <f t="shared" si="11"/>
        <v>0</v>
      </c>
      <c r="AM41" s="103">
        <f t="shared" si="12"/>
        <v>0</v>
      </c>
      <c r="AN41" s="7">
        <v>0</v>
      </c>
      <c r="AO41" s="138">
        <f t="shared" si="13"/>
        <v>0</v>
      </c>
      <c r="AP41" s="138">
        <f t="shared" si="14"/>
        <v>0</v>
      </c>
      <c r="AQ41" s="103">
        <f t="shared" si="15"/>
        <v>0</v>
      </c>
      <c r="AR41" s="103">
        <f t="shared" si="15"/>
        <v>0</v>
      </c>
      <c r="AS41" s="104">
        <f t="shared" si="16"/>
        <v>0</v>
      </c>
      <c r="AT41" s="104">
        <f t="shared" si="24"/>
        <v>0</v>
      </c>
      <c r="AU41" s="103">
        <f t="shared" si="17"/>
        <v>5.3641666666666667</v>
      </c>
      <c r="AV41" s="104">
        <f t="shared" si="18"/>
        <v>5.3641666666666667</v>
      </c>
      <c r="AW41" s="105">
        <f t="shared" si="19"/>
        <v>0.20999018163966626</v>
      </c>
      <c r="AY41" s="150">
        <f t="shared" si="29"/>
        <v>6.7900000000000009</v>
      </c>
      <c r="AZ41" s="151">
        <f t="shared" si="27"/>
        <v>0</v>
      </c>
      <c r="BA41" s="160">
        <f t="shared" si="25"/>
        <v>6.7900000000000009</v>
      </c>
      <c r="BB41" s="164"/>
      <c r="BD41" s="86" t="s">
        <v>106</v>
      </c>
      <c r="BE41" s="86" t="s">
        <v>263</v>
      </c>
      <c r="BF41" s="87" t="s">
        <v>264</v>
      </c>
      <c r="BG41" s="87">
        <v>387000650117</v>
      </c>
      <c r="BH41" s="86" t="s">
        <v>265</v>
      </c>
      <c r="BI41" s="86">
        <v>2222</v>
      </c>
      <c r="BJ41" s="86" t="s">
        <v>266</v>
      </c>
      <c r="BK41" s="86">
        <v>13312250</v>
      </c>
      <c r="BL41" s="86" t="s">
        <v>267</v>
      </c>
      <c r="BM41" s="86" t="s">
        <v>108</v>
      </c>
    </row>
    <row r="42" spans="1:65 16369:16369" s="106" customFormat="1" ht="14.25" customHeight="1" thickBot="1" x14ac:dyDescent="0.25">
      <c r="A42" s="109">
        <v>4.2599999999999999E-2</v>
      </c>
      <c r="B42" s="27">
        <f>VLOOKUP(F42,Planilha3!D:F,3,0)</f>
        <v>5.6291775156513468</v>
      </c>
      <c r="C42" s="90">
        <f t="shared" si="20"/>
        <v>132.14031726881097</v>
      </c>
      <c r="D42" s="90" t="s">
        <v>76</v>
      </c>
      <c r="E42" s="90" t="s">
        <v>79</v>
      </c>
      <c r="F42" s="107">
        <v>902544</v>
      </c>
      <c r="G42" s="107">
        <v>1041649</v>
      </c>
      <c r="H42" s="92" t="s">
        <v>15</v>
      </c>
      <c r="I42" s="93">
        <v>12</v>
      </c>
      <c r="J42" s="93">
        <v>175</v>
      </c>
      <c r="K42" s="94">
        <f t="shared" si="34"/>
        <v>4200</v>
      </c>
      <c r="L42" s="170">
        <v>700</v>
      </c>
      <c r="M42" s="180">
        <f t="shared" si="1"/>
        <v>4</v>
      </c>
      <c r="N42" s="95">
        <f t="shared" si="33"/>
        <v>0.16666666666666666</v>
      </c>
      <c r="O42" s="148">
        <v>64.37</v>
      </c>
      <c r="P42" s="135">
        <f t="shared" si="21"/>
        <v>5.3641666666666667</v>
      </c>
      <c r="Q42" s="96">
        <f t="shared" si="3"/>
        <v>0</v>
      </c>
      <c r="R42" s="96">
        <v>0</v>
      </c>
      <c r="S42" s="97">
        <f t="shared" si="4"/>
        <v>0</v>
      </c>
      <c r="T42" s="97">
        <v>0</v>
      </c>
      <c r="U42" s="121">
        <f t="shared" si="22"/>
        <v>0</v>
      </c>
      <c r="V42" s="121">
        <v>0</v>
      </c>
      <c r="W42" s="36">
        <v>6.7900000000000009</v>
      </c>
      <c r="X42" s="36">
        <v>6.7900000000000009</v>
      </c>
      <c r="Y42" s="36"/>
      <c r="Z42" s="98">
        <f t="shared" si="5"/>
        <v>0</v>
      </c>
      <c r="AA42" s="99">
        <f t="shared" si="6"/>
        <v>45059</v>
      </c>
      <c r="AB42" s="100">
        <f>L42*12*0.355/100</f>
        <v>29.82</v>
      </c>
      <c r="AC42" s="101"/>
      <c r="AD42" s="44">
        <f t="shared" si="7"/>
        <v>0</v>
      </c>
      <c r="AE42" s="102">
        <f t="shared" si="8"/>
        <v>0</v>
      </c>
      <c r="AF42" s="102">
        <f t="shared" si="23"/>
        <v>0</v>
      </c>
      <c r="AH42" s="137">
        <v>0</v>
      </c>
      <c r="AI42" s="103">
        <f t="shared" si="9"/>
        <v>0</v>
      </c>
      <c r="AJ42" s="103">
        <f t="shared" si="10"/>
        <v>0</v>
      </c>
      <c r="AK42" s="103"/>
      <c r="AL42" s="103">
        <f t="shared" si="11"/>
        <v>0</v>
      </c>
      <c r="AM42" s="103">
        <f t="shared" si="12"/>
        <v>0</v>
      </c>
      <c r="AN42" s="7">
        <v>0</v>
      </c>
      <c r="AO42" s="138">
        <f t="shared" si="13"/>
        <v>0</v>
      </c>
      <c r="AP42" s="138">
        <f t="shared" si="14"/>
        <v>0</v>
      </c>
      <c r="AQ42" s="103">
        <f t="shared" si="15"/>
        <v>0</v>
      </c>
      <c r="AR42" s="103">
        <f t="shared" si="15"/>
        <v>0</v>
      </c>
      <c r="AS42" s="104">
        <f t="shared" si="16"/>
        <v>0</v>
      </c>
      <c r="AT42" s="104">
        <f t="shared" si="24"/>
        <v>0</v>
      </c>
      <c r="AU42" s="103">
        <f t="shared" si="17"/>
        <v>5.3641666666666667</v>
      </c>
      <c r="AV42" s="104">
        <f t="shared" si="18"/>
        <v>5.3641666666666667</v>
      </c>
      <c r="AW42" s="105">
        <f t="shared" si="19"/>
        <v>0.20999018163966626</v>
      </c>
      <c r="AY42" s="150">
        <f t="shared" si="29"/>
        <v>6.7900000000000009</v>
      </c>
      <c r="AZ42" s="151">
        <f t="shared" si="27"/>
        <v>0</v>
      </c>
      <c r="BA42" s="160">
        <f t="shared" si="25"/>
        <v>6.7900000000000009</v>
      </c>
      <c r="BB42" s="164"/>
      <c r="BD42" s="86" t="s">
        <v>106</v>
      </c>
      <c r="BE42" s="86" t="s">
        <v>263</v>
      </c>
      <c r="BF42" s="87" t="s">
        <v>264</v>
      </c>
      <c r="BG42" s="87">
        <v>387000650117</v>
      </c>
      <c r="BH42" s="86" t="s">
        <v>265</v>
      </c>
      <c r="BI42" s="86">
        <v>2222</v>
      </c>
      <c r="BJ42" s="86" t="s">
        <v>266</v>
      </c>
      <c r="BK42" s="86">
        <v>13312250</v>
      </c>
      <c r="BL42" s="86" t="s">
        <v>267</v>
      </c>
      <c r="BM42" s="86" t="s">
        <v>108</v>
      </c>
    </row>
    <row r="43" spans="1:65 16369:16369" s="106" customFormat="1" ht="14.25" customHeight="1" thickBot="1" x14ac:dyDescent="0.25">
      <c r="A43" s="89">
        <v>4.2000000000000003E-2</v>
      </c>
      <c r="B43" s="27">
        <f>VLOOKUP(F43,Planilha3!D:F,3,0)</f>
        <v>33.175374857016735</v>
      </c>
      <c r="C43" s="90">
        <f t="shared" si="20"/>
        <v>789.88987754801747</v>
      </c>
      <c r="D43" s="90" t="s">
        <v>76</v>
      </c>
      <c r="E43" s="90" t="s">
        <v>79</v>
      </c>
      <c r="F43" s="107">
        <v>903683</v>
      </c>
      <c r="G43" s="107">
        <v>1110091</v>
      </c>
      <c r="H43" s="92" t="s">
        <v>16</v>
      </c>
      <c r="I43" s="93">
        <v>12</v>
      </c>
      <c r="J43" s="93">
        <v>280</v>
      </c>
      <c r="K43" s="94">
        <f t="shared" si="34"/>
        <v>6720</v>
      </c>
      <c r="L43" s="125">
        <v>840</v>
      </c>
      <c r="M43" s="180">
        <f t="shared" si="1"/>
        <v>3</v>
      </c>
      <c r="N43" s="95">
        <f t="shared" si="33"/>
        <v>0.125</v>
      </c>
      <c r="O43" s="148">
        <v>53.94</v>
      </c>
      <c r="P43" s="135">
        <f t="shared" si="21"/>
        <v>4.4950000000000001</v>
      </c>
      <c r="Q43" s="108">
        <f t="shared" si="3"/>
        <v>3.24</v>
      </c>
      <c r="R43" s="108">
        <v>0.27</v>
      </c>
      <c r="S43" s="122">
        <f t="shared" si="4"/>
        <v>0</v>
      </c>
      <c r="T43" s="122">
        <v>0</v>
      </c>
      <c r="U43" s="121">
        <f t="shared" si="22"/>
        <v>0.27</v>
      </c>
      <c r="V43" s="121">
        <v>0.27</v>
      </c>
      <c r="W43" s="36">
        <v>5.69</v>
      </c>
      <c r="X43" s="36">
        <v>5.0900000000000007</v>
      </c>
      <c r="Y43" s="36"/>
      <c r="Z43" s="98">
        <f t="shared" si="5"/>
        <v>2721.6000000000004</v>
      </c>
      <c r="AA43" s="99">
        <f t="shared" si="6"/>
        <v>45309.599999999999</v>
      </c>
      <c r="AB43" s="100">
        <f>L43*12*0.35/100</f>
        <v>35.28</v>
      </c>
      <c r="AC43" s="101"/>
      <c r="AD43" s="44">
        <f t="shared" si="7"/>
        <v>0.26691000000000004</v>
      </c>
      <c r="AE43" s="102">
        <f t="shared" si="8"/>
        <v>0.27</v>
      </c>
      <c r="AF43" s="102">
        <f t="shared" si="23"/>
        <v>-3.0899999999999817E-3</v>
      </c>
      <c r="AH43" s="175">
        <v>76.260000000000005</v>
      </c>
      <c r="AI43" s="176">
        <f t="shared" si="9"/>
        <v>2690.4528000000005</v>
      </c>
      <c r="AJ43" s="176">
        <f t="shared" si="10"/>
        <v>0.26691000000000004</v>
      </c>
      <c r="AK43" s="103"/>
      <c r="AL43" s="103">
        <f t="shared" si="11"/>
        <v>0</v>
      </c>
      <c r="AM43" s="103">
        <f t="shared" si="12"/>
        <v>0</v>
      </c>
      <c r="AN43" s="7">
        <v>0</v>
      </c>
      <c r="AO43" s="138">
        <f t="shared" si="13"/>
        <v>0</v>
      </c>
      <c r="AP43" s="138">
        <f t="shared" si="14"/>
        <v>0</v>
      </c>
      <c r="AQ43" s="103">
        <f t="shared" si="15"/>
        <v>2690.4528000000005</v>
      </c>
      <c r="AR43" s="103">
        <f t="shared" si="15"/>
        <v>0.26691000000000004</v>
      </c>
      <c r="AS43" s="104">
        <f t="shared" si="16"/>
        <v>2721.6000000000004</v>
      </c>
      <c r="AT43" s="104">
        <f t="shared" si="24"/>
        <v>-31.147199999999884</v>
      </c>
      <c r="AU43" s="103">
        <f t="shared" si="17"/>
        <v>4.4950000000000001</v>
      </c>
      <c r="AV43" s="104">
        <f t="shared" si="18"/>
        <v>4.2249999999999996</v>
      </c>
      <c r="AW43" s="105">
        <f t="shared" si="19"/>
        <v>0.16994106090373301</v>
      </c>
      <c r="AY43" s="150">
        <f t="shared" si="29"/>
        <v>5.0900000000000007</v>
      </c>
      <c r="AZ43" s="151">
        <f t="shared" si="27"/>
        <v>0</v>
      </c>
      <c r="BA43" s="160">
        <f t="shared" si="25"/>
        <v>5.0900000000000007</v>
      </c>
      <c r="BB43" s="164"/>
      <c r="BD43" s="86" t="s">
        <v>106</v>
      </c>
      <c r="BE43" s="86" t="s">
        <v>263</v>
      </c>
      <c r="BF43" s="87" t="s">
        <v>264</v>
      </c>
      <c r="BG43" s="87">
        <v>387000650117</v>
      </c>
      <c r="BH43" s="86" t="s">
        <v>265</v>
      </c>
      <c r="BI43" s="86">
        <v>2222</v>
      </c>
      <c r="BJ43" s="86" t="s">
        <v>266</v>
      </c>
      <c r="BK43" s="86">
        <v>13312250</v>
      </c>
      <c r="BL43" s="86" t="s">
        <v>267</v>
      </c>
      <c r="BM43" s="86" t="s">
        <v>108</v>
      </c>
    </row>
    <row r="44" spans="1:65 16369:16369" s="106" customFormat="1" ht="14.25" customHeight="1" thickBot="1" x14ac:dyDescent="0.25">
      <c r="A44" s="89">
        <v>4.2000000000000003E-2</v>
      </c>
      <c r="B44" s="27">
        <v>0</v>
      </c>
      <c r="C44" s="90">
        <f t="shared" si="20"/>
        <v>0</v>
      </c>
      <c r="D44" s="90" t="s">
        <v>76</v>
      </c>
      <c r="E44" s="90" t="s">
        <v>79</v>
      </c>
      <c r="F44" s="107">
        <v>904773</v>
      </c>
      <c r="G44" s="107">
        <v>1170235</v>
      </c>
      <c r="H44" s="92" t="s">
        <v>14</v>
      </c>
      <c r="I44" s="93">
        <v>12</v>
      </c>
      <c r="J44" s="93">
        <v>280</v>
      </c>
      <c r="K44" s="94">
        <f t="shared" si="34"/>
        <v>6720</v>
      </c>
      <c r="L44" s="170">
        <v>1400</v>
      </c>
      <c r="M44" s="180">
        <f t="shared" si="1"/>
        <v>5</v>
      </c>
      <c r="N44" s="95">
        <f t="shared" si="33"/>
        <v>0.20833333333333334</v>
      </c>
      <c r="O44" s="148">
        <v>53.94</v>
      </c>
      <c r="P44" s="135">
        <f t="shared" si="21"/>
        <v>4.4950000000000001</v>
      </c>
      <c r="Q44" s="108">
        <f t="shared" si="3"/>
        <v>3.24</v>
      </c>
      <c r="R44" s="108">
        <v>0.27</v>
      </c>
      <c r="S44" s="122">
        <f t="shared" si="4"/>
        <v>0</v>
      </c>
      <c r="T44" s="122">
        <v>0</v>
      </c>
      <c r="U44" s="121">
        <f t="shared" si="22"/>
        <v>0.27</v>
      </c>
      <c r="V44" s="121">
        <v>0.27</v>
      </c>
      <c r="W44" s="36">
        <v>5.69</v>
      </c>
      <c r="X44" s="36">
        <v>5.0900000000000007</v>
      </c>
      <c r="Y44" s="36"/>
      <c r="Z44" s="98">
        <f t="shared" si="5"/>
        <v>4536</v>
      </c>
      <c r="AA44" s="99">
        <f t="shared" si="6"/>
        <v>75516</v>
      </c>
      <c r="AB44" s="100">
        <f>L44*12*0.35/100</f>
        <v>58.8</v>
      </c>
      <c r="AC44" s="101"/>
      <c r="AD44" s="44">
        <f t="shared" si="7"/>
        <v>0.26690999999999998</v>
      </c>
      <c r="AE44" s="102">
        <f t="shared" si="8"/>
        <v>0.27</v>
      </c>
      <c r="AF44" s="102">
        <f t="shared" si="23"/>
        <v>-3.0900000000000372E-3</v>
      </c>
      <c r="AH44" s="175">
        <v>76.260000000000005</v>
      </c>
      <c r="AI44" s="176">
        <f t="shared" si="9"/>
        <v>4484.0879999999997</v>
      </c>
      <c r="AJ44" s="176">
        <f t="shared" si="10"/>
        <v>0.26690999999999998</v>
      </c>
      <c r="AK44" s="103"/>
      <c r="AL44" s="103">
        <f t="shared" si="11"/>
        <v>0</v>
      </c>
      <c r="AM44" s="103">
        <f t="shared" si="12"/>
        <v>0</v>
      </c>
      <c r="AN44" s="7">
        <v>0</v>
      </c>
      <c r="AO44" s="138">
        <f t="shared" si="13"/>
        <v>0</v>
      </c>
      <c r="AP44" s="138">
        <f t="shared" si="14"/>
        <v>0</v>
      </c>
      <c r="AQ44" s="103">
        <f t="shared" si="15"/>
        <v>4484.0879999999997</v>
      </c>
      <c r="AR44" s="103">
        <f t="shared" si="15"/>
        <v>0.26690999999999998</v>
      </c>
      <c r="AS44" s="104">
        <f t="shared" si="16"/>
        <v>4536</v>
      </c>
      <c r="AT44" s="104">
        <f t="shared" si="24"/>
        <v>-51.912000000000262</v>
      </c>
      <c r="AU44" s="103">
        <f t="shared" si="17"/>
        <v>4.4950000000000001</v>
      </c>
      <c r="AV44" s="104">
        <f t="shared" si="18"/>
        <v>4.2249999999999996</v>
      </c>
      <c r="AW44" s="105">
        <f t="shared" si="19"/>
        <v>0.16994106090373301</v>
      </c>
      <c r="AY44" s="150">
        <f t="shared" si="29"/>
        <v>5.0900000000000007</v>
      </c>
      <c r="AZ44" s="151">
        <f t="shared" si="27"/>
        <v>0</v>
      </c>
      <c r="BA44" s="160">
        <f t="shared" si="25"/>
        <v>5.0900000000000007</v>
      </c>
      <c r="BB44" s="164"/>
      <c r="BD44" s="86" t="s">
        <v>106</v>
      </c>
      <c r="BE44" s="86" t="s">
        <v>263</v>
      </c>
      <c r="BF44" s="87" t="s">
        <v>264</v>
      </c>
      <c r="BG44" s="87">
        <v>387000650117</v>
      </c>
      <c r="BH44" s="86" t="s">
        <v>265</v>
      </c>
      <c r="BI44" s="86">
        <v>2222</v>
      </c>
      <c r="BJ44" s="86" t="s">
        <v>266</v>
      </c>
      <c r="BK44" s="86">
        <v>13312250</v>
      </c>
      <c r="BL44" s="86" t="s">
        <v>267</v>
      </c>
      <c r="BM44" s="86" t="s">
        <v>108</v>
      </c>
    </row>
    <row r="45" spans="1:65 16369:16369" s="106" customFormat="1" ht="14.25" customHeight="1" thickBot="1" x14ac:dyDescent="0.25">
      <c r="A45" s="109">
        <v>4.2599999999999999E-2</v>
      </c>
      <c r="B45" s="27">
        <f>VLOOKUP(F45,Planilha3!D:F,3,0)</f>
        <v>3.9785143998218149</v>
      </c>
      <c r="C45" s="90">
        <f t="shared" si="20"/>
        <v>93.392356803328994</v>
      </c>
      <c r="D45" s="90" t="s">
        <v>76</v>
      </c>
      <c r="E45" s="90" t="s">
        <v>79</v>
      </c>
      <c r="F45" s="107">
        <v>902581</v>
      </c>
      <c r="G45" s="107">
        <v>1017033</v>
      </c>
      <c r="H45" s="92" t="s">
        <v>13</v>
      </c>
      <c r="I45" s="93">
        <v>12</v>
      </c>
      <c r="J45" s="93">
        <v>175</v>
      </c>
      <c r="K45" s="94">
        <f t="shared" si="34"/>
        <v>4200</v>
      </c>
      <c r="L45" s="170">
        <v>350</v>
      </c>
      <c r="M45" s="180">
        <f t="shared" si="1"/>
        <v>2</v>
      </c>
      <c r="N45" s="95">
        <f t="shared" si="33"/>
        <v>8.3333333333333329E-2</v>
      </c>
      <c r="O45" s="148">
        <v>64.37</v>
      </c>
      <c r="P45" s="135">
        <f t="shared" si="21"/>
        <v>5.3641666666666667</v>
      </c>
      <c r="Q45" s="96">
        <f t="shared" si="3"/>
        <v>0</v>
      </c>
      <c r="R45" s="96">
        <v>0</v>
      </c>
      <c r="S45" s="97">
        <f t="shared" si="4"/>
        <v>0</v>
      </c>
      <c r="T45" s="97">
        <v>0</v>
      </c>
      <c r="U45" s="121">
        <f t="shared" si="22"/>
        <v>0</v>
      </c>
      <c r="V45" s="121">
        <v>0</v>
      </c>
      <c r="W45" s="36">
        <v>6.7900000000000009</v>
      </c>
      <c r="X45" s="36">
        <v>6.7900000000000009</v>
      </c>
      <c r="Y45" s="36"/>
      <c r="Z45" s="98">
        <f t="shared" si="5"/>
        <v>0</v>
      </c>
      <c r="AA45" s="99">
        <f t="shared" si="6"/>
        <v>22529.5</v>
      </c>
      <c r="AB45" s="100">
        <f>L45*12*0.355/100</f>
        <v>14.91</v>
      </c>
      <c r="AC45" s="101"/>
      <c r="AD45" s="44">
        <f t="shared" si="7"/>
        <v>0</v>
      </c>
      <c r="AE45" s="102">
        <f t="shared" si="8"/>
        <v>0</v>
      </c>
      <c r="AF45" s="102">
        <f t="shared" si="23"/>
        <v>0</v>
      </c>
      <c r="AH45" s="137">
        <v>0</v>
      </c>
      <c r="AI45" s="103">
        <f t="shared" si="9"/>
        <v>0</v>
      </c>
      <c r="AJ45" s="103">
        <f t="shared" si="10"/>
        <v>0</v>
      </c>
      <c r="AK45" s="103"/>
      <c r="AL45" s="103">
        <f t="shared" si="11"/>
        <v>0</v>
      </c>
      <c r="AM45" s="103">
        <f t="shared" si="12"/>
        <v>0</v>
      </c>
      <c r="AN45" s="7">
        <v>0</v>
      </c>
      <c r="AO45" s="138">
        <f t="shared" si="13"/>
        <v>0</v>
      </c>
      <c r="AP45" s="138">
        <f t="shared" si="14"/>
        <v>0</v>
      </c>
      <c r="AQ45" s="103">
        <f t="shared" si="15"/>
        <v>0</v>
      </c>
      <c r="AR45" s="103">
        <f t="shared" si="15"/>
        <v>0</v>
      </c>
      <c r="AS45" s="104">
        <f t="shared" si="16"/>
        <v>0</v>
      </c>
      <c r="AT45" s="104">
        <f t="shared" si="24"/>
        <v>0</v>
      </c>
      <c r="AU45" s="103">
        <f t="shared" si="17"/>
        <v>5.3641666666666667</v>
      </c>
      <c r="AV45" s="104">
        <f t="shared" si="18"/>
        <v>5.3641666666666667</v>
      </c>
      <c r="AW45" s="105">
        <f t="shared" si="19"/>
        <v>0.20999018163966626</v>
      </c>
      <c r="AY45" s="150">
        <f t="shared" si="29"/>
        <v>6.7900000000000009</v>
      </c>
      <c r="AZ45" s="151">
        <f t="shared" si="27"/>
        <v>0</v>
      </c>
      <c r="BA45" s="160">
        <f t="shared" si="25"/>
        <v>6.7900000000000009</v>
      </c>
      <c r="BB45" s="164"/>
      <c r="BD45" s="86" t="s">
        <v>106</v>
      </c>
      <c r="BE45" s="86" t="s">
        <v>263</v>
      </c>
      <c r="BF45" s="87" t="s">
        <v>264</v>
      </c>
      <c r="BG45" s="87">
        <v>387000650117</v>
      </c>
      <c r="BH45" s="86" t="s">
        <v>265</v>
      </c>
      <c r="BI45" s="86">
        <v>2222</v>
      </c>
      <c r="BJ45" s="86" t="s">
        <v>266</v>
      </c>
      <c r="BK45" s="86">
        <v>13312250</v>
      </c>
      <c r="BL45" s="86" t="s">
        <v>267</v>
      </c>
      <c r="BM45" s="86" t="s">
        <v>108</v>
      </c>
    </row>
    <row r="46" spans="1:65 16369:16369" s="106" customFormat="1" ht="14.25" customHeight="1" thickBot="1" x14ac:dyDescent="0.25">
      <c r="A46" s="109">
        <v>4.2599999999999999E-2</v>
      </c>
      <c r="B46" s="27">
        <f>VLOOKUP(F46,Planilha3!D:F,3,0)</f>
        <v>2.5961263095001876</v>
      </c>
      <c r="C46" s="90">
        <f t="shared" si="20"/>
        <v>60.941932147891727</v>
      </c>
      <c r="D46" s="90" t="s">
        <v>76</v>
      </c>
      <c r="E46" s="90" t="s">
        <v>77</v>
      </c>
      <c r="F46" s="107">
        <v>903901</v>
      </c>
      <c r="G46" s="107">
        <v>1170142</v>
      </c>
      <c r="H46" s="92" t="s">
        <v>2</v>
      </c>
      <c r="I46" s="93">
        <v>12</v>
      </c>
      <c r="J46" s="93">
        <v>126</v>
      </c>
      <c r="K46" s="94">
        <f t="shared" si="34"/>
        <v>3024</v>
      </c>
      <c r="L46" s="125">
        <v>126</v>
      </c>
      <c r="M46" s="180">
        <f t="shared" si="1"/>
        <v>1</v>
      </c>
      <c r="N46" s="95">
        <f t="shared" si="33"/>
        <v>4.1666666666666664E-2</v>
      </c>
      <c r="O46" s="148">
        <v>104.19</v>
      </c>
      <c r="P46" s="135">
        <f t="shared" si="21"/>
        <v>8.6824999999999992</v>
      </c>
      <c r="Q46" s="96">
        <f t="shared" si="3"/>
        <v>0</v>
      </c>
      <c r="R46" s="96">
        <v>0</v>
      </c>
      <c r="S46" s="97">
        <f t="shared" si="4"/>
        <v>0</v>
      </c>
      <c r="T46" s="97">
        <v>0</v>
      </c>
      <c r="U46" s="121">
        <f t="shared" si="22"/>
        <v>0</v>
      </c>
      <c r="V46" s="121">
        <v>0</v>
      </c>
      <c r="W46" s="36">
        <f>VLOOKUP(F46,'[1]Proposta HNK para Tenda'!$F:$T,15,0)</f>
        <v>10.99</v>
      </c>
      <c r="X46" s="36">
        <f>VLOOKUP(F46,'[1]Proposta HNK para Tenda'!$F:$U,16,0)</f>
        <v>10.99</v>
      </c>
      <c r="Y46" s="36"/>
      <c r="Z46" s="98">
        <f t="shared" si="5"/>
        <v>0</v>
      </c>
      <c r="AA46" s="99">
        <f t="shared" si="6"/>
        <v>13127.94</v>
      </c>
      <c r="AB46" s="100">
        <f>L46*12*0.355/100</f>
        <v>5.3675999999999995</v>
      </c>
      <c r="AC46" s="101"/>
      <c r="AD46" s="44">
        <f t="shared" si="7"/>
        <v>0</v>
      </c>
      <c r="AE46" s="102">
        <f t="shared" si="8"/>
        <v>0</v>
      </c>
      <c r="AF46" s="102">
        <f t="shared" si="23"/>
        <v>0</v>
      </c>
      <c r="AH46" s="137">
        <v>0</v>
      </c>
      <c r="AI46" s="103">
        <f t="shared" si="9"/>
        <v>0</v>
      </c>
      <c r="AJ46" s="103">
        <f t="shared" si="10"/>
        <v>0</v>
      </c>
      <c r="AK46" s="103"/>
      <c r="AL46" s="103">
        <f t="shared" si="11"/>
        <v>0</v>
      </c>
      <c r="AM46" s="103">
        <f t="shared" si="12"/>
        <v>0</v>
      </c>
      <c r="AN46" s="7">
        <v>0</v>
      </c>
      <c r="AO46" s="138">
        <f t="shared" si="13"/>
        <v>0</v>
      </c>
      <c r="AP46" s="138">
        <f t="shared" si="14"/>
        <v>0</v>
      </c>
      <c r="AQ46" s="103">
        <f t="shared" si="15"/>
        <v>0</v>
      </c>
      <c r="AR46" s="103">
        <f t="shared" si="15"/>
        <v>0</v>
      </c>
      <c r="AS46" s="104">
        <f t="shared" si="16"/>
        <v>0</v>
      </c>
      <c r="AT46" s="104">
        <f t="shared" si="24"/>
        <v>0</v>
      </c>
      <c r="AU46" s="103">
        <f t="shared" si="17"/>
        <v>8.6824999999999992</v>
      </c>
      <c r="AV46" s="104">
        <f t="shared" si="18"/>
        <v>8.6824999999999992</v>
      </c>
      <c r="AW46" s="105">
        <f t="shared" si="19"/>
        <v>0.20996360327570526</v>
      </c>
      <c r="AY46" s="150">
        <f t="shared" si="29"/>
        <v>10.99</v>
      </c>
      <c r="AZ46" s="151">
        <f t="shared" si="27"/>
        <v>0</v>
      </c>
      <c r="BA46" s="160">
        <f t="shared" si="25"/>
        <v>10.99</v>
      </c>
      <c r="BB46" s="164"/>
      <c r="BD46" s="86" t="s">
        <v>106</v>
      </c>
      <c r="BE46" s="86" t="s">
        <v>263</v>
      </c>
      <c r="BF46" s="87" t="s">
        <v>264</v>
      </c>
      <c r="BG46" s="87">
        <v>387000650117</v>
      </c>
      <c r="BH46" s="86" t="s">
        <v>265</v>
      </c>
      <c r="BI46" s="86">
        <v>2222</v>
      </c>
      <c r="BJ46" s="86" t="s">
        <v>266</v>
      </c>
      <c r="BK46" s="86">
        <v>13312250</v>
      </c>
      <c r="BL46" s="86" t="s">
        <v>267</v>
      </c>
      <c r="BM46" s="86" t="s">
        <v>108</v>
      </c>
    </row>
    <row r="47" spans="1:65 16369:16369" s="106" customFormat="1" ht="14.25" customHeight="1" thickBot="1" x14ac:dyDescent="0.25">
      <c r="A47" s="109">
        <v>4.2000000000000003E-2</v>
      </c>
      <c r="B47" s="27">
        <f>VLOOKUP(F47,Planilha3!D:F,3,0)</f>
        <v>5.5383412037525046</v>
      </c>
      <c r="C47" s="90">
        <f t="shared" si="20"/>
        <v>131.86526675601201</v>
      </c>
      <c r="D47" s="90" t="s">
        <v>76</v>
      </c>
      <c r="E47" s="90" t="s">
        <v>77</v>
      </c>
      <c r="F47" s="107">
        <v>904782</v>
      </c>
      <c r="G47" s="107">
        <v>1169716</v>
      </c>
      <c r="H47" s="92" t="s">
        <v>1</v>
      </c>
      <c r="I47" s="93">
        <v>12</v>
      </c>
      <c r="J47" s="93">
        <v>280</v>
      </c>
      <c r="K47" s="94">
        <f t="shared" si="34"/>
        <v>6720</v>
      </c>
      <c r="L47" s="125">
        <v>560</v>
      </c>
      <c r="M47" s="180">
        <f t="shared" si="1"/>
        <v>2</v>
      </c>
      <c r="N47" s="95">
        <f t="shared" si="33"/>
        <v>8.3333333333333329E-2</v>
      </c>
      <c r="O47" s="148">
        <v>85.23</v>
      </c>
      <c r="P47" s="135">
        <f t="shared" si="21"/>
        <v>7.1025</v>
      </c>
      <c r="Q47" s="108">
        <f t="shared" si="3"/>
        <v>10.8</v>
      </c>
      <c r="R47" s="108">
        <v>0.9</v>
      </c>
      <c r="S47" s="122">
        <f t="shared" si="4"/>
        <v>0.24</v>
      </c>
      <c r="T47" s="122">
        <v>0.02</v>
      </c>
      <c r="U47" s="121">
        <f t="shared" si="22"/>
        <v>0.92</v>
      </c>
      <c r="V47" s="121">
        <v>0.92</v>
      </c>
      <c r="W47" s="36">
        <f>VLOOKUP(F47,'[1]Proposta HNK para Tenda'!$F:$T,15,0)</f>
        <v>8.99</v>
      </c>
      <c r="X47" s="36">
        <f>VLOOKUP(F47,'[1]Proposta HNK para Tenda'!$F:$U,16,0)</f>
        <v>6.99</v>
      </c>
      <c r="Y47" s="36"/>
      <c r="Z47" s="98">
        <f t="shared" si="5"/>
        <v>6182.4000000000005</v>
      </c>
      <c r="AA47" s="99">
        <f t="shared" si="6"/>
        <v>47728.800000000003</v>
      </c>
      <c r="AB47" s="100">
        <f t="shared" ref="AB47" si="35">L47*12*0.35/100</f>
        <v>23.52</v>
      </c>
      <c r="AC47" s="101"/>
      <c r="AD47" s="44">
        <f t="shared" si="7"/>
        <v>0.93051000000000006</v>
      </c>
      <c r="AE47" s="102">
        <f t="shared" si="8"/>
        <v>0.92</v>
      </c>
      <c r="AF47" s="102">
        <f t="shared" si="23"/>
        <v>1.0510000000000019E-2</v>
      </c>
      <c r="AH47" s="175">
        <v>265.86</v>
      </c>
      <c r="AI47" s="176">
        <f t="shared" si="9"/>
        <v>6253.0272000000004</v>
      </c>
      <c r="AJ47" s="176">
        <f t="shared" si="10"/>
        <v>0.93051000000000006</v>
      </c>
      <c r="AK47" s="103"/>
      <c r="AL47" s="103">
        <f t="shared" si="11"/>
        <v>0</v>
      </c>
      <c r="AM47" s="103">
        <f t="shared" si="12"/>
        <v>0</v>
      </c>
      <c r="AN47" s="7">
        <v>0</v>
      </c>
      <c r="AO47" s="138">
        <f t="shared" si="13"/>
        <v>0</v>
      </c>
      <c r="AP47" s="138">
        <f t="shared" si="14"/>
        <v>0</v>
      </c>
      <c r="AQ47" s="103">
        <f t="shared" si="15"/>
        <v>6253.0272000000004</v>
      </c>
      <c r="AR47" s="103">
        <f t="shared" si="15"/>
        <v>0.93051000000000006</v>
      </c>
      <c r="AS47" s="104">
        <f t="shared" si="16"/>
        <v>6182.4000000000005</v>
      </c>
      <c r="AT47" s="104">
        <f t="shared" si="24"/>
        <v>70.627199999999903</v>
      </c>
      <c r="AU47" s="103">
        <f t="shared" si="17"/>
        <v>7.1025</v>
      </c>
      <c r="AV47" s="104">
        <f t="shared" si="18"/>
        <v>6.1825000000000001</v>
      </c>
      <c r="AW47" s="105">
        <f t="shared" si="19"/>
        <v>0.11552217453505008</v>
      </c>
      <c r="AY47" s="150">
        <f t="shared" si="29"/>
        <v>6.99</v>
      </c>
      <c r="AZ47" s="151">
        <f t="shared" si="27"/>
        <v>0</v>
      </c>
      <c r="BA47" s="160">
        <f t="shared" si="25"/>
        <v>6.99</v>
      </c>
      <c r="BB47" s="164"/>
      <c r="BD47" s="86" t="s">
        <v>106</v>
      </c>
      <c r="BE47" s="86" t="s">
        <v>263</v>
      </c>
      <c r="BF47" s="87" t="s">
        <v>264</v>
      </c>
      <c r="BG47" s="87">
        <v>387000650117</v>
      </c>
      <c r="BH47" s="86" t="s">
        <v>265</v>
      </c>
      <c r="BI47" s="86">
        <v>2222</v>
      </c>
      <c r="BJ47" s="86" t="s">
        <v>266</v>
      </c>
      <c r="BK47" s="86">
        <v>13312250</v>
      </c>
      <c r="BL47" s="86" t="s">
        <v>267</v>
      </c>
      <c r="BM47" s="86" t="s">
        <v>108</v>
      </c>
    </row>
    <row r="48" spans="1:65 16369:16369" ht="14.25" customHeight="1" x14ac:dyDescent="0.2">
      <c r="B48" s="27"/>
      <c r="N48" s="6">
        <f>SUM(N5:N47)</f>
        <v>333.85256410256397</v>
      </c>
      <c r="T48" s="2"/>
      <c r="U48" s="2"/>
      <c r="V48" s="2"/>
      <c r="W48" s="2"/>
      <c r="X48" s="2"/>
      <c r="Y48" s="2" t="s">
        <v>287</v>
      </c>
      <c r="Z48" s="5">
        <f>SUBTOTAL(9,Z5:Z47)</f>
        <v>9523544.6399999987</v>
      </c>
      <c r="AA48" s="5">
        <f>SUBTOTAL(9,AA5:AA47)</f>
        <v>113409318.63999997</v>
      </c>
      <c r="AB48" s="4">
        <f>SUBTOTAL(9,AB5:AB47)</f>
        <v>89328.295360000047</v>
      </c>
      <c r="AC48" s="54"/>
      <c r="AD48" s="58"/>
      <c r="AE48" s="58"/>
      <c r="AF48" s="58"/>
      <c r="AH48" s="54"/>
      <c r="AI48" s="59">
        <f>SUBTOTAL(9,AI5:AI47)</f>
        <v>2977758.6359679988</v>
      </c>
      <c r="AJ48" s="54"/>
      <c r="AK48" s="54"/>
      <c r="AL48" s="59">
        <f>SUBTOTAL(9,AL5:AL47)</f>
        <v>811717.24838400015</v>
      </c>
      <c r="AM48" s="54"/>
      <c r="AN48" s="54"/>
      <c r="AO48" s="59">
        <f>SUBTOTAL(9,AO5:AO47)</f>
        <v>5646392.3424000004</v>
      </c>
      <c r="AP48" s="54"/>
      <c r="AQ48" s="59">
        <f>SUBTOTAL(9,AQ5:AQ47)</f>
        <v>9435868.2267520037</v>
      </c>
      <c r="AR48" s="54"/>
      <c r="AS48" s="60">
        <f>SUM(AS5:AS47)</f>
        <v>9523544.6399999987</v>
      </c>
      <c r="AT48" s="60">
        <f>AQ48-AS48</f>
        <v>-87676.413247995079</v>
      </c>
      <c r="AU48" s="54"/>
      <c r="AV48" s="54"/>
      <c r="AW48" s="54"/>
      <c r="AY48" s="58"/>
      <c r="AZ48" s="58"/>
      <c r="BA48" s="58"/>
      <c r="BB48" s="58"/>
      <c r="XEO48" s="3">
        <f>SUM(XEO5:XFD47)</f>
        <v>0</v>
      </c>
    </row>
    <row r="49" spans="2:54" ht="14.25" customHeight="1" x14ac:dyDescent="0.2">
      <c r="B49" s="27"/>
      <c r="K49" s="18"/>
      <c r="T49" s="12"/>
      <c r="U49" s="12"/>
      <c r="V49" s="12"/>
      <c r="W49" s="2"/>
      <c r="X49" s="2"/>
      <c r="Y49" s="2" t="s">
        <v>288</v>
      </c>
      <c r="Z49" s="2">
        <v>343985.44</v>
      </c>
      <c r="AA49" s="1">
        <v>450000</v>
      </c>
      <c r="AB49" s="6"/>
      <c r="AD49" s="6"/>
      <c r="AE49" s="6"/>
      <c r="AF49" s="6"/>
      <c r="AQ49" s="3"/>
      <c r="AY49" s="6"/>
      <c r="AZ49" s="6"/>
      <c r="BA49" s="6"/>
      <c r="BB49" s="6"/>
    </row>
    <row r="50" spans="2:54" ht="14.25" customHeight="1" x14ac:dyDescent="0.2">
      <c r="W50" s="2"/>
      <c r="X50" s="2"/>
      <c r="Y50" s="2"/>
      <c r="Z50" s="2">
        <f>SUM(Z48:Z49)</f>
        <v>9867530.0799999982</v>
      </c>
      <c r="AA50" s="2">
        <f>AA49-Z49</f>
        <v>106014.56</v>
      </c>
      <c r="AD50" s="2">
        <v>450000</v>
      </c>
      <c r="AE50" s="6"/>
      <c r="AH50" s="65" t="s">
        <v>61</v>
      </c>
      <c r="AI50" s="66">
        <f>AQ48</f>
        <v>9435868.2267520037</v>
      </c>
      <c r="AJ50" s="3"/>
      <c r="AM50" s="3"/>
      <c r="AP50" s="3"/>
      <c r="AQ50" s="3"/>
      <c r="AR50" s="3"/>
    </row>
    <row r="51" spans="2:54" ht="14.25" customHeight="1" x14ac:dyDescent="0.2">
      <c r="T51" s="12"/>
      <c r="U51" s="12"/>
      <c r="V51" s="12"/>
      <c r="W51" s="12"/>
      <c r="Z51" s="197">
        <f>Z50/AA48</f>
        <v>8.7008106550070366E-2</v>
      </c>
      <c r="AA51" s="23"/>
      <c r="AB51" s="6"/>
      <c r="AD51" s="3">
        <f>AI50+AD50</f>
        <v>9885868.2267520037</v>
      </c>
      <c r="AE51" s="6"/>
      <c r="AF51" s="6"/>
      <c r="AH51" s="67" t="s">
        <v>88</v>
      </c>
      <c r="AI51" s="68">
        <f>Z48</f>
        <v>9523544.6399999987</v>
      </c>
      <c r="AJ51" s="31"/>
      <c r="AQ51" s="3"/>
      <c r="AR51" s="3"/>
      <c r="AY51" s="6"/>
      <c r="AZ51" s="6"/>
      <c r="BA51" s="6"/>
      <c r="BB51" s="6"/>
    </row>
    <row r="52" spans="2:54" ht="14.25" customHeight="1" x14ac:dyDescent="0.2">
      <c r="AA52" s="6"/>
      <c r="AB52" s="6"/>
      <c r="AH52" s="69" t="s">
        <v>71</v>
      </c>
      <c r="AI52" s="70">
        <f>AI50-AI51</f>
        <v>-87676.413247995079</v>
      </c>
      <c r="AJ52" s="3">
        <v>366046.2</v>
      </c>
      <c r="AP52" s="3"/>
      <c r="AQ52" s="3"/>
      <c r="AY52" s="6"/>
      <c r="AZ52" s="6"/>
      <c r="BA52" s="6"/>
      <c r="BB52" s="6"/>
    </row>
    <row r="53" spans="2:54" ht="14.25" customHeight="1" thickBot="1" x14ac:dyDescent="0.25">
      <c r="T53" s="3"/>
      <c r="U53" s="3"/>
      <c r="V53" s="3"/>
      <c r="W53" s="3"/>
      <c r="AA53" s="6"/>
      <c r="AB53" s="6"/>
      <c r="AD53" s="3">
        <f>AD51-Z50</f>
        <v>18338.146752005443</v>
      </c>
      <c r="AF53" s="2"/>
      <c r="AH53" s="2"/>
      <c r="AI53" s="2" t="s">
        <v>91</v>
      </c>
      <c r="AJ53" s="3"/>
      <c r="AY53" s="2"/>
      <c r="AZ53" s="2"/>
      <c r="BA53" s="2"/>
      <c r="BB53" s="2"/>
    </row>
    <row r="54" spans="2:54" ht="14.25" customHeight="1" x14ac:dyDescent="0.2">
      <c r="X54" s="203" t="s">
        <v>90</v>
      </c>
      <c r="Y54" s="204"/>
      <c r="Z54" s="205"/>
      <c r="AA54" s="6"/>
      <c r="AB54" s="6"/>
      <c r="AF54" s="23">
        <f>AI50/AA48</f>
        <v>8.3201877411014896E-2</v>
      </c>
      <c r="AH54" s="65" t="s">
        <v>86</v>
      </c>
      <c r="AI54" s="72">
        <f>AI50/AA48</f>
        <v>8.3201877411014896E-2</v>
      </c>
      <c r="AJ54" s="3"/>
    </row>
    <row r="55" spans="2:54" ht="14.25" customHeight="1" x14ac:dyDescent="0.2">
      <c r="T55" s="23"/>
      <c r="U55" s="23"/>
      <c r="V55" s="23"/>
      <c r="W55" s="23"/>
      <c r="X55" s="30" t="s">
        <v>76</v>
      </c>
      <c r="Y55" s="30"/>
      <c r="Z55" s="81">
        <f>SUM(Z29:Z47)</f>
        <v>121900.79999999999</v>
      </c>
      <c r="AA55" s="6"/>
      <c r="AB55" s="6"/>
      <c r="AH55" s="71" t="s">
        <v>87</v>
      </c>
      <c r="AI55" s="73">
        <f>Z48/AA48</f>
        <v>8.3974974492448826E-2</v>
      </c>
    </row>
    <row r="56" spans="2:54" ht="14.25" customHeight="1" x14ac:dyDescent="0.2">
      <c r="X56" s="30" t="s">
        <v>89</v>
      </c>
      <c r="Y56" s="30"/>
      <c r="Z56" s="81">
        <f>SUM(Z10:Z25)</f>
        <v>5031184.3199999994</v>
      </c>
      <c r="AA56" s="31"/>
    </row>
    <row r="57" spans="2:54" ht="14.25" customHeight="1" x14ac:dyDescent="0.2">
      <c r="X57" s="30" t="s">
        <v>82</v>
      </c>
      <c r="Y57" s="30"/>
      <c r="Z57" s="81">
        <f>SUM(Z5:Z6,Z7)</f>
        <v>4302144</v>
      </c>
    </row>
    <row r="59" spans="2:54" ht="14.25" customHeight="1" x14ac:dyDescent="0.2">
      <c r="AH59" s="23"/>
    </row>
    <row r="61" spans="2:54" ht="14.25" customHeight="1" x14ac:dyDescent="0.2">
      <c r="Z61" s="88"/>
    </row>
  </sheetData>
  <mergeCells count="6">
    <mergeCell ref="AW3:AW4"/>
    <mergeCell ref="X54:Z54"/>
    <mergeCell ref="W3:Y3"/>
    <mergeCell ref="AD3:AD4"/>
    <mergeCell ref="AE3:AE4"/>
    <mergeCell ref="AF3:AF4"/>
  </mergeCells>
  <pageMargins left="0.511811024" right="0.511811024" top="0.78740157499999996" bottom="0.78740157499999996" header="0.31496062000000002" footer="0.31496062000000002"/>
  <pageSetup orientation="portrait" r:id="rId1"/>
  <headerFooter>
    <oddFooter>&amp;R_x000D_&amp;1#&amp;"Calibri"&amp;11&amp;K000000 Este conteúdo foi classificado como Interno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09FC-AAE8-494E-88C5-0D1F1553EE88}">
  <sheetPr>
    <tabColor theme="1"/>
  </sheetPr>
  <dimension ref="A2:XEN28"/>
  <sheetViews>
    <sheetView showGridLines="0" zoomScale="91" zoomScaleNormal="91" workbookViewId="0">
      <pane xSplit="11" ySplit="4" topLeftCell="L5" activePane="bottomRight" state="frozen"/>
      <selection activeCell="I19" sqref="I19"/>
      <selection pane="topRight" activeCell="I19" sqref="I19"/>
      <selection pane="bottomLeft" activeCell="I19" sqref="I19"/>
      <selection pane="bottomRight" activeCell="B5" sqref="B5:B14"/>
    </sheetView>
  </sheetViews>
  <sheetFormatPr defaultRowHeight="14.25" customHeight="1" outlineLevelCol="1" x14ac:dyDescent="0.2"/>
  <cols>
    <col min="1" max="1" width="9.5703125" style="1" hidden="1" customWidth="1" outlineLevel="1"/>
    <col min="2" max="2" width="11.85546875" style="1" hidden="1" customWidth="1" outlineLevel="1"/>
    <col min="3" max="3" width="8.140625" style="30" hidden="1" customWidth="1" outlineLevel="1"/>
    <col min="4" max="4" width="10.42578125" style="30" hidden="1" customWidth="1" outlineLevel="1"/>
    <col min="5" max="5" width="9.42578125" style="30" hidden="1" customWidth="1" outlineLevel="1"/>
    <col min="6" max="6" width="9.7109375" style="30" customWidth="1" collapsed="1"/>
    <col min="7" max="7" width="8.28515625" style="1" bestFit="1" customWidth="1"/>
    <col min="8" max="8" width="34.5703125" style="1" customWidth="1"/>
    <col min="9" max="9" width="3.5703125" style="1" bestFit="1" customWidth="1"/>
    <col min="10" max="10" width="6.28515625" style="1" bestFit="1" customWidth="1"/>
    <col min="11" max="11" width="7.140625" style="1" bestFit="1" customWidth="1"/>
    <col min="12" max="12" width="8.7109375" style="1" customWidth="1"/>
    <col min="13" max="13" width="7.7109375" style="1" customWidth="1"/>
    <col min="14" max="14" width="7.42578125" style="1" customWidth="1"/>
    <col min="15" max="15" width="7.140625" style="1" customWidth="1"/>
    <col min="16" max="16" width="7.85546875" style="1" customWidth="1"/>
    <col min="17" max="17" width="11" style="1" hidden="1" customWidth="1" outlineLevel="1"/>
    <col min="18" max="18" width="10" style="1" customWidth="1" collapsed="1"/>
    <col min="19" max="19" width="9.7109375" style="1" hidden="1" customWidth="1" outlineLevel="1"/>
    <col min="20" max="20" width="9.5703125" style="1" customWidth="1" collapsed="1"/>
    <col min="21" max="21" width="11.28515625" style="1" customWidth="1"/>
    <col min="22" max="22" width="9.5703125" style="1" customWidth="1"/>
    <col min="23" max="23" width="7.85546875" style="1" customWidth="1"/>
    <col min="24" max="24" width="10.28515625" style="1" customWidth="1"/>
    <col min="25" max="25" width="14.42578125" style="1" customWidth="1"/>
    <col min="26" max="26" width="15.140625" style="1" bestFit="1" customWidth="1"/>
    <col min="27" max="27" width="9.5703125" style="1" bestFit="1" customWidth="1"/>
    <col min="28" max="28" width="2.42578125" style="1" hidden="1" customWidth="1" outlineLevel="1"/>
    <col min="29" max="29" width="16.7109375" style="1" hidden="1" customWidth="1" outlineLevel="1"/>
    <col min="30" max="30" width="13" style="1" hidden="1" customWidth="1" outlineLevel="1"/>
    <col min="31" max="31" width="8.140625" style="1" hidden="1" customWidth="1" outlineLevel="1"/>
    <col min="32" max="32" width="2" style="1" customWidth="1" collapsed="1"/>
    <col min="33" max="33" width="12" style="1" customWidth="1" outlineLevel="1"/>
    <col min="34" max="34" width="14.7109375" style="1" customWidth="1" outlineLevel="1"/>
    <col min="35" max="35" width="12.7109375" style="1" customWidth="1" outlineLevel="1"/>
    <col min="36" max="36" width="8.42578125" style="1" customWidth="1" outlineLevel="1"/>
    <col min="37" max="37" width="12.7109375" style="1" customWidth="1" outlineLevel="1"/>
    <col min="38" max="38" width="11.7109375" style="1" customWidth="1" outlineLevel="1"/>
    <col min="39" max="39" width="9.42578125" style="1" customWidth="1" outlineLevel="1"/>
    <col min="40" max="40" width="14.140625" style="1" customWidth="1" outlineLevel="1"/>
    <col min="41" max="41" width="11.7109375" style="1" customWidth="1" outlineLevel="1"/>
    <col min="42" max="42" width="14.140625" style="1" customWidth="1" outlineLevel="1"/>
    <col min="43" max="43" width="11.28515625" style="1" customWidth="1" outlineLevel="1"/>
    <col min="44" max="44" width="17" style="1" customWidth="1" outlineLevel="1"/>
    <col min="45" max="45" width="13.140625" style="1" customWidth="1" outlineLevel="1"/>
    <col min="46" max="46" width="11.85546875" style="1" customWidth="1" outlineLevel="1"/>
    <col min="47" max="47" width="10.7109375" style="1" customWidth="1" outlineLevel="1"/>
    <col min="48" max="48" width="16" style="1" customWidth="1" outlineLevel="1"/>
    <col min="49" max="49" width="2.42578125" style="1" customWidth="1"/>
    <col min="50" max="50" width="13.28515625" style="1" customWidth="1" outlineLevel="1"/>
    <col min="51" max="51" width="13" style="1" customWidth="1" outlineLevel="1"/>
    <col min="52" max="52" width="9.42578125" style="1" customWidth="1" outlineLevel="1"/>
    <col min="53" max="53" width="8" style="1" customWidth="1" outlineLevel="1"/>
    <col min="54" max="54" width="4" style="1" customWidth="1"/>
    <col min="55" max="55" width="11.28515625" style="1" bestFit="1" customWidth="1"/>
    <col min="56" max="56" width="29.85546875" style="1" bestFit="1" customWidth="1"/>
    <col min="57" max="57" width="16.42578125" style="1" bestFit="1" customWidth="1"/>
    <col min="58" max="58" width="14" style="1" bestFit="1" customWidth="1"/>
    <col min="59" max="59" width="41.42578125" style="1" bestFit="1" customWidth="1"/>
    <col min="60" max="60" width="7" style="1" bestFit="1" customWidth="1"/>
    <col min="61" max="61" width="26" style="1" bestFit="1" customWidth="1"/>
    <col min="62" max="62" width="8.5703125" style="1" bestFit="1" customWidth="1"/>
    <col min="63" max="63" width="11.28515625" style="1" bestFit="1" customWidth="1"/>
    <col min="64" max="64" width="3.85546875" style="1" bestFit="1" customWidth="1"/>
    <col min="65" max="16367" width="9.140625" style="1"/>
    <col min="16368" max="16368" width="6.7109375" style="1" bestFit="1" customWidth="1"/>
    <col min="16369" max="16384" width="6.7109375" style="1" customWidth="1"/>
  </cols>
  <sheetData>
    <row r="2" spans="1:64 16368:16368" ht="12" x14ac:dyDescent="0.2">
      <c r="J2" s="124"/>
      <c r="Q2" s="26"/>
      <c r="R2" s="25"/>
      <c r="S2" s="33"/>
      <c r="T2" s="27"/>
      <c r="U2" s="33"/>
      <c r="V2" s="27"/>
      <c r="W2" s="27"/>
      <c r="X2" s="27"/>
      <c r="Y2" s="28"/>
      <c r="Z2" s="28"/>
      <c r="AA2" s="38"/>
      <c r="AB2" s="43"/>
      <c r="AC2" s="42"/>
      <c r="AD2" s="42"/>
      <c r="AE2" s="42"/>
      <c r="AG2" s="54"/>
      <c r="AH2" s="61">
        <f>SUBTOTAL(9,AH5:AH14)</f>
        <v>19178.547960000004</v>
      </c>
      <c r="AI2" s="54"/>
      <c r="AJ2" s="54"/>
      <c r="AK2" s="61">
        <f>SUBTOTAL(9,AK5:AK14)</f>
        <v>0</v>
      </c>
      <c r="AL2" s="54"/>
      <c r="AM2" s="54"/>
      <c r="AN2" s="61">
        <f>SUBTOTAL(9,AN5:AN14)</f>
        <v>0</v>
      </c>
      <c r="AO2" s="54"/>
      <c r="AP2" s="55"/>
      <c r="AQ2" s="54"/>
      <c r="AR2" s="43"/>
      <c r="AS2" s="43"/>
      <c r="AT2" s="43"/>
      <c r="AU2" s="43"/>
      <c r="AV2" s="43"/>
      <c r="AX2" s="42"/>
      <c r="AY2" s="42"/>
      <c r="AZ2" s="42"/>
      <c r="BA2" s="42"/>
    </row>
    <row r="3" spans="1:64 16368:16368" ht="19.5" customHeight="1" x14ac:dyDescent="0.2">
      <c r="B3" s="34">
        <f>SUBTOTAL(9,B5:B14)</f>
        <v>1815.636</v>
      </c>
      <c r="H3" s="2"/>
      <c r="L3" s="18"/>
      <c r="N3" s="18"/>
      <c r="O3" s="134"/>
      <c r="P3" s="134"/>
      <c r="Q3" s="134"/>
      <c r="R3" s="31"/>
      <c r="T3" s="6"/>
      <c r="U3" s="6"/>
      <c r="V3" s="212" t="s">
        <v>285</v>
      </c>
      <c r="W3" s="213"/>
      <c r="X3" s="213"/>
      <c r="Y3" s="2">
        <f>SUBTOTAL(9,Y5:Y14)</f>
        <v>19287.840000000004</v>
      </c>
      <c r="AA3" s="19">
        <f>SUBTOTAL(9,AA5:AA14)</f>
        <v>1815.636</v>
      </c>
      <c r="AB3" s="43"/>
      <c r="AC3" s="206" t="s">
        <v>59</v>
      </c>
      <c r="AD3" s="208" t="s">
        <v>58</v>
      </c>
      <c r="AE3" s="210" t="s">
        <v>279</v>
      </c>
      <c r="AG3" s="113"/>
      <c r="AH3" s="113" t="s">
        <v>51</v>
      </c>
      <c r="AI3" s="113"/>
      <c r="AJ3" s="114"/>
      <c r="AK3" s="114" t="s">
        <v>57</v>
      </c>
      <c r="AL3" s="114"/>
      <c r="AM3" s="115"/>
      <c r="AN3" s="115" t="s">
        <v>50</v>
      </c>
      <c r="AO3" s="115"/>
      <c r="AP3" s="116">
        <f>SUBTOTAL(9,AP5:AP14)</f>
        <v>19178.547960000004</v>
      </c>
      <c r="AQ3" s="117"/>
      <c r="AR3" s="118"/>
      <c r="AS3" s="119"/>
      <c r="AT3" s="120"/>
      <c r="AU3" s="120"/>
      <c r="AV3" s="201" t="s">
        <v>70</v>
      </c>
      <c r="AX3" s="166"/>
      <c r="AY3" s="166"/>
      <c r="AZ3" s="166"/>
      <c r="BA3" s="166"/>
    </row>
    <row r="4" spans="1:64 16368:16368" ht="40.5" customHeight="1" thickBot="1" x14ac:dyDescent="0.25">
      <c r="A4" s="48" t="s">
        <v>62</v>
      </c>
      <c r="B4" s="49" t="s">
        <v>85</v>
      </c>
      <c r="C4" s="48" t="s">
        <v>63</v>
      </c>
      <c r="D4" s="48" t="s">
        <v>72</v>
      </c>
      <c r="E4" s="48" t="s">
        <v>73</v>
      </c>
      <c r="F4" s="15" t="s">
        <v>84</v>
      </c>
      <c r="G4" s="17" t="s">
        <v>47</v>
      </c>
      <c r="H4" s="17" t="s">
        <v>46</v>
      </c>
      <c r="I4" s="15" t="s">
        <v>45</v>
      </c>
      <c r="J4" s="15" t="s">
        <v>44</v>
      </c>
      <c r="K4" s="15" t="s">
        <v>43</v>
      </c>
      <c r="L4" s="15" t="s">
        <v>42</v>
      </c>
      <c r="M4" s="16" t="s">
        <v>41</v>
      </c>
      <c r="N4" s="16" t="s">
        <v>40</v>
      </c>
      <c r="O4" s="15" t="s">
        <v>67</v>
      </c>
      <c r="P4" s="15" t="s">
        <v>245</v>
      </c>
      <c r="Q4" s="15" t="s">
        <v>39</v>
      </c>
      <c r="R4" s="15" t="s">
        <v>38</v>
      </c>
      <c r="S4" s="15" t="s">
        <v>37</v>
      </c>
      <c r="T4" s="15" t="s">
        <v>36</v>
      </c>
      <c r="U4" s="15" t="s">
        <v>123</v>
      </c>
      <c r="V4" s="35" t="s">
        <v>66</v>
      </c>
      <c r="W4" s="37" t="s">
        <v>65</v>
      </c>
      <c r="X4" s="37" t="s">
        <v>280</v>
      </c>
      <c r="Y4" s="14" t="s">
        <v>35</v>
      </c>
      <c r="Z4" s="24" t="s">
        <v>34</v>
      </c>
      <c r="AA4" s="24" t="s">
        <v>52</v>
      </c>
      <c r="AB4" s="53"/>
      <c r="AC4" s="207"/>
      <c r="AD4" s="209"/>
      <c r="AE4" s="211"/>
      <c r="AG4" s="62" t="s">
        <v>33</v>
      </c>
      <c r="AH4" s="62" t="s">
        <v>32</v>
      </c>
      <c r="AI4" s="62" t="s">
        <v>31</v>
      </c>
      <c r="AJ4" s="63" t="s">
        <v>33</v>
      </c>
      <c r="AK4" s="63" t="s">
        <v>32</v>
      </c>
      <c r="AL4" s="63" t="s">
        <v>31</v>
      </c>
      <c r="AM4" s="64" t="s">
        <v>33</v>
      </c>
      <c r="AN4" s="64" t="s">
        <v>32</v>
      </c>
      <c r="AO4" s="64" t="s">
        <v>31</v>
      </c>
      <c r="AP4" s="56" t="s">
        <v>49</v>
      </c>
      <c r="AQ4" s="57" t="s">
        <v>48</v>
      </c>
      <c r="AR4" s="111" t="s">
        <v>35</v>
      </c>
      <c r="AS4" s="112" t="s">
        <v>105</v>
      </c>
      <c r="AT4" s="110" t="s">
        <v>68</v>
      </c>
      <c r="AU4" s="110" t="s">
        <v>69</v>
      </c>
      <c r="AV4" s="202"/>
      <c r="AX4" s="149" t="s">
        <v>282</v>
      </c>
      <c r="AY4" s="149" t="s">
        <v>283</v>
      </c>
      <c r="AZ4" s="149" t="s">
        <v>281</v>
      </c>
      <c r="BA4" s="149" t="s">
        <v>284</v>
      </c>
      <c r="BC4" s="15" t="s">
        <v>109</v>
      </c>
      <c r="BD4" s="15" t="s">
        <v>110</v>
      </c>
      <c r="BE4" s="15" t="s">
        <v>107</v>
      </c>
      <c r="BF4" s="15" t="s">
        <v>111</v>
      </c>
      <c r="BG4" s="15" t="s">
        <v>112</v>
      </c>
      <c r="BH4" s="15" t="s">
        <v>113</v>
      </c>
      <c r="BI4" s="15" t="s">
        <v>114</v>
      </c>
      <c r="BJ4" s="15" t="s">
        <v>109</v>
      </c>
      <c r="BK4" s="15" t="s">
        <v>115</v>
      </c>
      <c r="BL4" s="15" t="s">
        <v>116</v>
      </c>
    </row>
    <row r="5" spans="1:64 16368:16368" ht="14.25" customHeight="1" thickBot="1" x14ac:dyDescent="0.25">
      <c r="A5" s="52">
        <f>0.35*12/100</f>
        <v>4.1999999999999996E-2</v>
      </c>
      <c r="B5" s="27">
        <v>36.036000000000001</v>
      </c>
      <c r="C5" s="47">
        <f t="shared" ref="C5:C14" si="0">B5/A5</f>
        <v>858.00000000000011</v>
      </c>
      <c r="D5" s="47" t="s">
        <v>92</v>
      </c>
      <c r="E5" s="47" t="s">
        <v>93</v>
      </c>
      <c r="F5" s="21">
        <v>903795</v>
      </c>
      <c r="G5" s="22">
        <v>1155646</v>
      </c>
      <c r="H5" s="75" t="s">
        <v>94</v>
      </c>
      <c r="I5" s="22">
        <v>12</v>
      </c>
      <c r="J5" s="22">
        <v>286</v>
      </c>
      <c r="K5" s="10">
        <f>J5*24</f>
        <v>6864</v>
      </c>
      <c r="L5" s="125">
        <f t="shared" ref="L5:L6" si="1">C5</f>
        <v>858.00000000000011</v>
      </c>
      <c r="M5" s="179">
        <f t="shared" ref="M5:M14" si="2">L5/J5</f>
        <v>3.0000000000000004</v>
      </c>
      <c r="N5" s="84">
        <f t="shared" ref="N5:N13" si="3">L5/K5</f>
        <v>0.12500000000000003</v>
      </c>
      <c r="O5" s="148">
        <v>28.46</v>
      </c>
      <c r="P5" s="135">
        <f t="shared" ref="P5:P14" si="4">O5/I5</f>
        <v>2.3716666666666666</v>
      </c>
      <c r="Q5" s="13">
        <f t="shared" ref="Q5:Q14" si="5">R5*I5</f>
        <v>1.6800000000000002</v>
      </c>
      <c r="R5" s="13">
        <v>0.14000000000000001</v>
      </c>
      <c r="S5" s="74">
        <f t="shared" ref="S5:S14" si="6">I5*T5</f>
        <v>0</v>
      </c>
      <c r="T5" s="74">
        <v>0</v>
      </c>
      <c r="U5" s="121">
        <f t="shared" ref="U5:U14" si="7">SUM(R5,T5)</f>
        <v>0.14000000000000001</v>
      </c>
      <c r="V5" s="36">
        <f>VLOOKUP(F5,'[1]Proposta HNK para Tenda'!$F:$T,15,0)</f>
        <v>2.7900000000000005</v>
      </c>
      <c r="W5" s="36">
        <f>VLOOKUP(F5,'[1]Proposta HNK para Tenda'!$F:$U,16,0)</f>
        <v>2.4900000000000002</v>
      </c>
      <c r="X5" s="36"/>
      <c r="Y5" s="8">
        <f t="shared" ref="Y5:Y14" si="8">L5*(Q5+S5)</f>
        <v>1441.4400000000003</v>
      </c>
      <c r="Z5" s="8">
        <f t="shared" ref="Z5:Z14" si="9">L5*O5</f>
        <v>24418.680000000004</v>
      </c>
      <c r="AA5" s="76">
        <f t="shared" ref="AA5:AA11" si="10">L5*12*0.35/100</f>
        <v>36.036000000000001</v>
      </c>
      <c r="AB5" s="43"/>
      <c r="AC5" s="44">
        <f t="shared" ref="AC5:AC14" si="11">SUM(AI5,AL5,AO5)</f>
        <v>0.13548499999999999</v>
      </c>
      <c r="AD5" s="39">
        <f t="shared" ref="AD5:AD14" si="12">SUM(R5,T5)</f>
        <v>0.14000000000000001</v>
      </c>
      <c r="AE5" s="39">
        <f t="shared" ref="AE5:AE14" si="13">AC5-AD5</f>
        <v>-4.515000000000019E-3</v>
      </c>
      <c r="AG5" s="175">
        <v>38.71</v>
      </c>
      <c r="AH5" s="175">
        <f t="shared" ref="AH5:AH14" si="14">AG5*AA5</f>
        <v>1394.9535600000002</v>
      </c>
      <c r="AI5" s="175">
        <f t="shared" ref="AI5:AI14" si="15">AH5/L5/I5</f>
        <v>0.13548499999999999</v>
      </c>
      <c r="AJ5" s="7"/>
      <c r="AK5" s="7">
        <f t="shared" ref="AK5:AK14" si="16">AJ5*AA5</f>
        <v>0</v>
      </c>
      <c r="AL5" s="7">
        <f t="shared" ref="AL5:AL14" si="17">AK5/L5/I5</f>
        <v>0</v>
      </c>
      <c r="AM5" s="7">
        <v>0</v>
      </c>
      <c r="AN5" s="137">
        <f t="shared" ref="AN5:AN14" si="18">AM5*AA5</f>
        <v>0</v>
      </c>
      <c r="AO5" s="137">
        <f t="shared" ref="AO5:AO14" si="19">AN5/L5/I5</f>
        <v>0</v>
      </c>
      <c r="AP5" s="7">
        <f t="shared" ref="AP5:AQ14" si="20">SUM(AH5,AK5,AN5)</f>
        <v>1394.9535600000002</v>
      </c>
      <c r="AQ5" s="7">
        <f t="shared" si="20"/>
        <v>0.13548499999999999</v>
      </c>
      <c r="AR5" s="40">
        <f t="shared" ref="AR5:AR14" si="21">Y5</f>
        <v>1441.4400000000003</v>
      </c>
      <c r="AS5" s="82">
        <f t="shared" ref="AS5:AS14" si="22">AP5-AR5</f>
        <v>-46.48644000000013</v>
      </c>
      <c r="AT5" s="7">
        <f t="shared" ref="AT5:AT14" si="23">O5/I5</f>
        <v>2.3716666666666666</v>
      </c>
      <c r="AU5" s="40">
        <f t="shared" ref="AU5:AU14" si="24">AT5-R5-T5</f>
        <v>2.2316666666666665</v>
      </c>
      <c r="AV5" s="41">
        <f t="shared" ref="AV5:AV14" si="25">(W5-AU5)/W5</f>
        <v>0.10374832663989306</v>
      </c>
      <c r="AX5" s="150">
        <f t="shared" ref="AX5:AX14" si="26">W5*100%</f>
        <v>2.4900000000000002</v>
      </c>
      <c r="AY5" s="151">
        <f t="shared" ref="AY5:AY14" si="27">X5*50%</f>
        <v>0</v>
      </c>
      <c r="AZ5" s="160">
        <f t="shared" ref="AZ5:AZ14" si="28">AX5+AY5</f>
        <v>2.4900000000000002</v>
      </c>
      <c r="BA5" s="164"/>
      <c r="BC5" s="86" t="s">
        <v>106</v>
      </c>
      <c r="BD5" s="86" t="s">
        <v>263</v>
      </c>
      <c r="BE5" s="87" t="s">
        <v>264</v>
      </c>
      <c r="BF5" s="87">
        <v>387000650117</v>
      </c>
      <c r="BG5" s="86" t="s">
        <v>265</v>
      </c>
      <c r="BH5" s="86">
        <v>2222</v>
      </c>
      <c r="BI5" s="86" t="s">
        <v>266</v>
      </c>
      <c r="BJ5" s="86">
        <v>13312250</v>
      </c>
      <c r="BK5" s="86" t="s">
        <v>267</v>
      </c>
      <c r="BL5" s="86" t="s">
        <v>108</v>
      </c>
    </row>
    <row r="6" spans="1:64 16368:16368" ht="14.25" customHeight="1" thickBot="1" x14ac:dyDescent="0.25">
      <c r="A6" s="52">
        <f>0.35*12/100</f>
        <v>4.1999999999999996E-2</v>
      </c>
      <c r="B6" s="27"/>
      <c r="C6" s="47">
        <f t="shared" si="0"/>
        <v>0</v>
      </c>
      <c r="D6" s="47" t="s">
        <v>92</v>
      </c>
      <c r="E6" s="47" t="s">
        <v>93</v>
      </c>
      <c r="F6" s="171">
        <v>905282</v>
      </c>
      <c r="G6" s="167">
        <v>1228747</v>
      </c>
      <c r="H6" s="168" t="s">
        <v>248</v>
      </c>
      <c r="I6" s="167">
        <v>12</v>
      </c>
      <c r="J6" s="167">
        <v>286</v>
      </c>
      <c r="K6" s="169">
        <f>J6*24</f>
        <v>6864</v>
      </c>
      <c r="L6" s="125">
        <f t="shared" si="1"/>
        <v>0</v>
      </c>
      <c r="M6" s="179">
        <f t="shared" si="2"/>
        <v>0</v>
      </c>
      <c r="N6" s="84">
        <f t="shared" si="3"/>
        <v>0</v>
      </c>
      <c r="O6" s="148">
        <v>28.46</v>
      </c>
      <c r="P6" s="135">
        <f t="shared" si="4"/>
        <v>2.3716666666666666</v>
      </c>
      <c r="Q6" s="13">
        <f t="shared" si="5"/>
        <v>1.6800000000000002</v>
      </c>
      <c r="R6" s="13">
        <v>0.14000000000000001</v>
      </c>
      <c r="S6" s="74">
        <f t="shared" si="6"/>
        <v>0</v>
      </c>
      <c r="T6" s="74">
        <v>0</v>
      </c>
      <c r="U6" s="121">
        <f t="shared" si="7"/>
        <v>0.14000000000000001</v>
      </c>
      <c r="V6" s="36">
        <v>2.7900000000000005</v>
      </c>
      <c r="W6" s="36">
        <v>2.4900000000000002</v>
      </c>
      <c r="X6" s="36"/>
      <c r="Y6" s="8">
        <f t="shared" si="8"/>
        <v>0</v>
      </c>
      <c r="Z6" s="8">
        <f t="shared" si="9"/>
        <v>0</v>
      </c>
      <c r="AA6" s="76">
        <f t="shared" si="10"/>
        <v>0</v>
      </c>
      <c r="AB6" s="43"/>
      <c r="AC6" s="44" t="e">
        <f t="shared" si="11"/>
        <v>#DIV/0!</v>
      </c>
      <c r="AD6" s="39">
        <f t="shared" si="12"/>
        <v>0.14000000000000001</v>
      </c>
      <c r="AE6" s="39" t="e">
        <f t="shared" si="13"/>
        <v>#DIV/0!</v>
      </c>
      <c r="AG6" s="175">
        <v>38.71</v>
      </c>
      <c r="AH6" s="175">
        <f t="shared" si="14"/>
        <v>0</v>
      </c>
      <c r="AI6" s="175" t="e">
        <f t="shared" si="15"/>
        <v>#DIV/0!</v>
      </c>
      <c r="AJ6" s="7"/>
      <c r="AK6" s="7">
        <f t="shared" si="16"/>
        <v>0</v>
      </c>
      <c r="AL6" s="7" t="e">
        <f t="shared" si="17"/>
        <v>#DIV/0!</v>
      </c>
      <c r="AM6" s="7">
        <v>0</v>
      </c>
      <c r="AN6" s="137">
        <f t="shared" si="18"/>
        <v>0</v>
      </c>
      <c r="AO6" s="137" t="e">
        <f t="shared" si="19"/>
        <v>#DIV/0!</v>
      </c>
      <c r="AP6" s="7">
        <f t="shared" si="20"/>
        <v>0</v>
      </c>
      <c r="AQ6" s="7" t="e">
        <f t="shared" si="20"/>
        <v>#DIV/0!</v>
      </c>
      <c r="AR6" s="40">
        <f t="shared" si="21"/>
        <v>0</v>
      </c>
      <c r="AS6" s="82">
        <f t="shared" si="22"/>
        <v>0</v>
      </c>
      <c r="AT6" s="7">
        <f t="shared" si="23"/>
        <v>2.3716666666666666</v>
      </c>
      <c r="AU6" s="40">
        <f t="shared" si="24"/>
        <v>2.2316666666666665</v>
      </c>
      <c r="AV6" s="41">
        <f t="shared" si="25"/>
        <v>0.10374832663989306</v>
      </c>
      <c r="AX6" s="150">
        <f t="shared" si="26"/>
        <v>2.4900000000000002</v>
      </c>
      <c r="AY6" s="151">
        <f t="shared" si="27"/>
        <v>0</v>
      </c>
      <c r="AZ6" s="160">
        <f t="shared" si="28"/>
        <v>2.4900000000000002</v>
      </c>
      <c r="BA6" s="164"/>
      <c r="BC6" s="86" t="s">
        <v>106</v>
      </c>
      <c r="BD6" s="86" t="s">
        <v>263</v>
      </c>
      <c r="BE6" s="87" t="s">
        <v>264</v>
      </c>
      <c r="BF6" s="87">
        <v>387000650117</v>
      </c>
      <c r="BG6" s="86" t="s">
        <v>265</v>
      </c>
      <c r="BH6" s="86">
        <v>2222</v>
      </c>
      <c r="BI6" s="86" t="s">
        <v>266</v>
      </c>
      <c r="BJ6" s="86">
        <v>13312250</v>
      </c>
      <c r="BK6" s="86" t="s">
        <v>267</v>
      </c>
      <c r="BL6" s="86" t="s">
        <v>108</v>
      </c>
    </row>
    <row r="7" spans="1:64 16368:16368" ht="14.25" customHeight="1" thickBot="1" x14ac:dyDescent="0.25">
      <c r="A7" s="52">
        <f t="shared" ref="A7:A13" si="29">0.35*12/100</f>
        <v>4.1999999999999996E-2</v>
      </c>
      <c r="B7" s="27">
        <v>36.036000000000001</v>
      </c>
      <c r="C7" s="47">
        <f t="shared" si="0"/>
        <v>858.00000000000011</v>
      </c>
      <c r="D7" s="47" t="s">
        <v>92</v>
      </c>
      <c r="E7" s="47" t="s">
        <v>93</v>
      </c>
      <c r="F7" s="20">
        <v>903791</v>
      </c>
      <c r="G7" s="20">
        <v>1155674</v>
      </c>
      <c r="H7" s="75" t="s">
        <v>95</v>
      </c>
      <c r="I7" s="22">
        <v>12</v>
      </c>
      <c r="J7" s="22">
        <v>286</v>
      </c>
      <c r="K7" s="10">
        <f t="shared" ref="K7:K11" si="30">J7*24</f>
        <v>6864</v>
      </c>
      <c r="L7" s="125">
        <f>C7</f>
        <v>858.00000000000011</v>
      </c>
      <c r="M7" s="179">
        <f t="shared" si="2"/>
        <v>3.0000000000000004</v>
      </c>
      <c r="N7" s="84">
        <f t="shared" si="3"/>
        <v>0.12500000000000003</v>
      </c>
      <c r="O7" s="148">
        <v>28.46</v>
      </c>
      <c r="P7" s="135">
        <f t="shared" si="4"/>
        <v>2.3716666666666666</v>
      </c>
      <c r="Q7" s="13">
        <f t="shared" si="5"/>
        <v>1.6800000000000002</v>
      </c>
      <c r="R7" s="13">
        <v>0.14000000000000001</v>
      </c>
      <c r="S7" s="74">
        <f t="shared" si="6"/>
        <v>0</v>
      </c>
      <c r="T7" s="74">
        <v>0</v>
      </c>
      <c r="U7" s="121">
        <f t="shared" si="7"/>
        <v>0.14000000000000001</v>
      </c>
      <c r="V7" s="36">
        <f>VLOOKUP(F7,'[1]Proposta HNK para Tenda'!$F:$T,15,0)</f>
        <v>2.7900000000000005</v>
      </c>
      <c r="W7" s="36">
        <f>VLOOKUP(F7,'[1]Proposta HNK para Tenda'!$F:$U,16,0)</f>
        <v>2.4900000000000002</v>
      </c>
      <c r="X7" s="36"/>
      <c r="Y7" s="8">
        <f t="shared" si="8"/>
        <v>1441.4400000000003</v>
      </c>
      <c r="Z7" s="8">
        <f t="shared" si="9"/>
        <v>24418.680000000004</v>
      </c>
      <c r="AA7" s="76">
        <f t="shared" si="10"/>
        <v>36.036000000000001</v>
      </c>
      <c r="AB7" s="43"/>
      <c r="AC7" s="44">
        <f t="shared" si="11"/>
        <v>0.13548499999999999</v>
      </c>
      <c r="AD7" s="39">
        <f t="shared" si="12"/>
        <v>0.14000000000000001</v>
      </c>
      <c r="AE7" s="39">
        <f t="shared" si="13"/>
        <v>-4.515000000000019E-3</v>
      </c>
      <c r="AG7" s="175">
        <v>38.71</v>
      </c>
      <c r="AH7" s="175">
        <f t="shared" si="14"/>
        <v>1394.9535600000002</v>
      </c>
      <c r="AI7" s="175">
        <f t="shared" si="15"/>
        <v>0.13548499999999999</v>
      </c>
      <c r="AJ7" s="7"/>
      <c r="AK7" s="7">
        <f t="shared" si="16"/>
        <v>0</v>
      </c>
      <c r="AL7" s="7">
        <f t="shared" si="17"/>
        <v>0</v>
      </c>
      <c r="AM7" s="7">
        <v>0</v>
      </c>
      <c r="AN7" s="137">
        <f t="shared" si="18"/>
        <v>0</v>
      </c>
      <c r="AO7" s="137">
        <f t="shared" si="19"/>
        <v>0</v>
      </c>
      <c r="AP7" s="7">
        <f t="shared" si="20"/>
        <v>1394.9535600000002</v>
      </c>
      <c r="AQ7" s="7">
        <f t="shared" si="20"/>
        <v>0.13548499999999999</v>
      </c>
      <c r="AR7" s="40">
        <f t="shared" si="21"/>
        <v>1441.4400000000003</v>
      </c>
      <c r="AS7" s="82">
        <f t="shared" si="22"/>
        <v>-46.48644000000013</v>
      </c>
      <c r="AT7" s="7">
        <f t="shared" si="23"/>
        <v>2.3716666666666666</v>
      </c>
      <c r="AU7" s="40">
        <f t="shared" si="24"/>
        <v>2.2316666666666665</v>
      </c>
      <c r="AV7" s="41">
        <f t="shared" si="25"/>
        <v>0.10374832663989306</v>
      </c>
      <c r="AX7" s="150">
        <f t="shared" si="26"/>
        <v>2.4900000000000002</v>
      </c>
      <c r="AY7" s="151">
        <f t="shared" si="27"/>
        <v>0</v>
      </c>
      <c r="AZ7" s="160">
        <f t="shared" si="28"/>
        <v>2.4900000000000002</v>
      </c>
      <c r="BA7" s="164"/>
      <c r="BC7" s="86" t="s">
        <v>106</v>
      </c>
      <c r="BD7" s="86" t="s">
        <v>263</v>
      </c>
      <c r="BE7" s="87" t="s">
        <v>264</v>
      </c>
      <c r="BF7" s="87">
        <v>387000650117</v>
      </c>
      <c r="BG7" s="86" t="s">
        <v>265</v>
      </c>
      <c r="BH7" s="86">
        <v>2222</v>
      </c>
      <c r="BI7" s="86" t="s">
        <v>266</v>
      </c>
      <c r="BJ7" s="86">
        <v>13312250</v>
      </c>
      <c r="BK7" s="86" t="s">
        <v>267</v>
      </c>
      <c r="BL7" s="86" t="s">
        <v>108</v>
      </c>
    </row>
    <row r="8" spans="1:64 16368:16368" ht="14.25" customHeight="1" thickBot="1" x14ac:dyDescent="0.25">
      <c r="A8" s="52">
        <f>0.35*12/100</f>
        <v>4.1999999999999996E-2</v>
      </c>
      <c r="B8" s="27"/>
      <c r="C8" s="47">
        <f t="shared" si="0"/>
        <v>0</v>
      </c>
      <c r="D8" s="47" t="s">
        <v>92</v>
      </c>
      <c r="E8" s="47" t="s">
        <v>93</v>
      </c>
      <c r="F8" s="171">
        <v>905283</v>
      </c>
      <c r="G8" s="167">
        <v>1228749</v>
      </c>
      <c r="H8" s="168" t="s">
        <v>249</v>
      </c>
      <c r="I8" s="167">
        <v>12</v>
      </c>
      <c r="J8" s="167">
        <v>286</v>
      </c>
      <c r="K8" s="169">
        <f>J8*24</f>
        <v>6864</v>
      </c>
      <c r="L8" s="125">
        <f t="shared" ref="L8:L14" si="31">C8</f>
        <v>0</v>
      </c>
      <c r="M8" s="179">
        <f t="shared" si="2"/>
        <v>0</v>
      </c>
      <c r="N8" s="84">
        <f t="shared" si="3"/>
        <v>0</v>
      </c>
      <c r="O8" s="148">
        <v>28.46</v>
      </c>
      <c r="P8" s="135">
        <f t="shared" si="4"/>
        <v>2.3716666666666666</v>
      </c>
      <c r="Q8" s="13">
        <f t="shared" si="5"/>
        <v>1.6800000000000002</v>
      </c>
      <c r="R8" s="13">
        <v>0.14000000000000001</v>
      </c>
      <c r="S8" s="74">
        <f t="shared" si="6"/>
        <v>0</v>
      </c>
      <c r="T8" s="74">
        <v>0</v>
      </c>
      <c r="U8" s="121">
        <f t="shared" si="7"/>
        <v>0.14000000000000001</v>
      </c>
      <c r="V8" s="36">
        <v>2.7900000000000005</v>
      </c>
      <c r="W8" s="36">
        <v>2.4900000000000002</v>
      </c>
      <c r="X8" s="36"/>
      <c r="Y8" s="8">
        <f t="shared" si="8"/>
        <v>0</v>
      </c>
      <c r="Z8" s="8">
        <f t="shared" si="9"/>
        <v>0</v>
      </c>
      <c r="AA8" s="76">
        <f t="shared" si="10"/>
        <v>0</v>
      </c>
      <c r="AB8" s="43"/>
      <c r="AC8" s="44" t="e">
        <f t="shared" si="11"/>
        <v>#DIV/0!</v>
      </c>
      <c r="AD8" s="39">
        <f t="shared" si="12"/>
        <v>0.14000000000000001</v>
      </c>
      <c r="AE8" s="39" t="e">
        <f t="shared" si="13"/>
        <v>#DIV/0!</v>
      </c>
      <c r="AG8" s="175">
        <v>38.71</v>
      </c>
      <c r="AH8" s="175">
        <f t="shared" si="14"/>
        <v>0</v>
      </c>
      <c r="AI8" s="175" t="e">
        <f t="shared" si="15"/>
        <v>#DIV/0!</v>
      </c>
      <c r="AJ8" s="7"/>
      <c r="AK8" s="7">
        <f t="shared" si="16"/>
        <v>0</v>
      </c>
      <c r="AL8" s="7" t="e">
        <f t="shared" si="17"/>
        <v>#DIV/0!</v>
      </c>
      <c r="AM8" s="7">
        <v>0</v>
      </c>
      <c r="AN8" s="137">
        <f t="shared" si="18"/>
        <v>0</v>
      </c>
      <c r="AO8" s="137" t="e">
        <f t="shared" si="19"/>
        <v>#DIV/0!</v>
      </c>
      <c r="AP8" s="7">
        <f t="shared" si="20"/>
        <v>0</v>
      </c>
      <c r="AQ8" s="7" t="e">
        <f t="shared" si="20"/>
        <v>#DIV/0!</v>
      </c>
      <c r="AR8" s="40">
        <f t="shared" si="21"/>
        <v>0</v>
      </c>
      <c r="AS8" s="82">
        <f t="shared" si="22"/>
        <v>0</v>
      </c>
      <c r="AT8" s="7">
        <f t="shared" si="23"/>
        <v>2.3716666666666666</v>
      </c>
      <c r="AU8" s="40">
        <f t="shared" si="24"/>
        <v>2.2316666666666665</v>
      </c>
      <c r="AV8" s="41">
        <f t="shared" si="25"/>
        <v>0.10374832663989306</v>
      </c>
      <c r="AX8" s="150">
        <f t="shared" si="26"/>
        <v>2.4900000000000002</v>
      </c>
      <c r="AY8" s="151">
        <f t="shared" si="27"/>
        <v>0</v>
      </c>
      <c r="AZ8" s="160">
        <f t="shared" si="28"/>
        <v>2.4900000000000002</v>
      </c>
      <c r="BA8" s="164"/>
      <c r="BC8" s="86" t="s">
        <v>106</v>
      </c>
      <c r="BD8" s="86" t="s">
        <v>263</v>
      </c>
      <c r="BE8" s="87" t="s">
        <v>264</v>
      </c>
      <c r="BF8" s="87">
        <v>387000650117</v>
      </c>
      <c r="BG8" s="86" t="s">
        <v>265</v>
      </c>
      <c r="BH8" s="86">
        <v>2222</v>
      </c>
      <c r="BI8" s="86" t="s">
        <v>266</v>
      </c>
      <c r="BJ8" s="86">
        <v>13312250</v>
      </c>
      <c r="BK8" s="86" t="s">
        <v>267</v>
      </c>
      <c r="BL8" s="86" t="s">
        <v>108</v>
      </c>
    </row>
    <row r="9" spans="1:64 16368:16368" ht="14.25" customHeight="1" thickBot="1" x14ac:dyDescent="0.25">
      <c r="A9" s="52">
        <f t="shared" si="29"/>
        <v>4.1999999999999996E-2</v>
      </c>
      <c r="B9" s="27">
        <v>36.036000000000001</v>
      </c>
      <c r="C9" s="47">
        <f t="shared" si="0"/>
        <v>858.00000000000011</v>
      </c>
      <c r="D9" s="47" t="s">
        <v>92</v>
      </c>
      <c r="E9" s="47" t="s">
        <v>93</v>
      </c>
      <c r="F9" s="21">
        <v>903793</v>
      </c>
      <c r="G9" s="20">
        <v>1155658</v>
      </c>
      <c r="H9" s="75" t="s">
        <v>96</v>
      </c>
      <c r="I9" s="22">
        <v>12</v>
      </c>
      <c r="J9" s="22">
        <v>286</v>
      </c>
      <c r="K9" s="10">
        <f t="shared" si="30"/>
        <v>6864</v>
      </c>
      <c r="L9" s="125">
        <f t="shared" si="31"/>
        <v>858.00000000000011</v>
      </c>
      <c r="M9" s="179">
        <f t="shared" si="2"/>
        <v>3.0000000000000004</v>
      </c>
      <c r="N9" s="84">
        <f t="shared" si="3"/>
        <v>0.12500000000000003</v>
      </c>
      <c r="O9" s="148">
        <v>28.46</v>
      </c>
      <c r="P9" s="135">
        <f t="shared" si="4"/>
        <v>2.3716666666666666</v>
      </c>
      <c r="Q9" s="13">
        <f t="shared" si="5"/>
        <v>1.6800000000000002</v>
      </c>
      <c r="R9" s="13">
        <v>0.14000000000000001</v>
      </c>
      <c r="S9" s="74">
        <f t="shared" si="6"/>
        <v>0</v>
      </c>
      <c r="T9" s="74">
        <v>0</v>
      </c>
      <c r="U9" s="121">
        <f t="shared" si="7"/>
        <v>0.14000000000000001</v>
      </c>
      <c r="V9" s="36">
        <f>VLOOKUP(F9,'[1]Proposta HNK para Tenda'!$F:$T,15,0)</f>
        <v>2.7900000000000005</v>
      </c>
      <c r="W9" s="36">
        <f>VLOOKUP(F9,'[1]Proposta HNK para Tenda'!$F:$U,16,0)</f>
        <v>2.4900000000000002</v>
      </c>
      <c r="X9" s="36"/>
      <c r="Y9" s="8">
        <f t="shared" si="8"/>
        <v>1441.4400000000003</v>
      </c>
      <c r="Z9" s="8">
        <f t="shared" si="9"/>
        <v>24418.680000000004</v>
      </c>
      <c r="AA9" s="76">
        <f t="shared" si="10"/>
        <v>36.036000000000001</v>
      </c>
      <c r="AB9" s="43"/>
      <c r="AC9" s="44">
        <f t="shared" si="11"/>
        <v>0.13548499999999999</v>
      </c>
      <c r="AD9" s="39">
        <f t="shared" si="12"/>
        <v>0.14000000000000001</v>
      </c>
      <c r="AE9" s="39">
        <f t="shared" si="13"/>
        <v>-4.515000000000019E-3</v>
      </c>
      <c r="AG9" s="175">
        <v>38.71</v>
      </c>
      <c r="AH9" s="175">
        <f t="shared" si="14"/>
        <v>1394.9535600000002</v>
      </c>
      <c r="AI9" s="175">
        <f t="shared" si="15"/>
        <v>0.13548499999999999</v>
      </c>
      <c r="AJ9" s="7"/>
      <c r="AK9" s="7">
        <f t="shared" si="16"/>
        <v>0</v>
      </c>
      <c r="AL9" s="7">
        <f t="shared" si="17"/>
        <v>0</v>
      </c>
      <c r="AM9" s="7">
        <v>0</v>
      </c>
      <c r="AN9" s="137">
        <f t="shared" si="18"/>
        <v>0</v>
      </c>
      <c r="AO9" s="137">
        <f t="shared" si="19"/>
        <v>0</v>
      </c>
      <c r="AP9" s="7">
        <f t="shared" si="20"/>
        <v>1394.9535600000002</v>
      </c>
      <c r="AQ9" s="7">
        <f t="shared" si="20"/>
        <v>0.13548499999999999</v>
      </c>
      <c r="AR9" s="40">
        <f t="shared" si="21"/>
        <v>1441.4400000000003</v>
      </c>
      <c r="AS9" s="82">
        <f t="shared" si="22"/>
        <v>-46.48644000000013</v>
      </c>
      <c r="AT9" s="7">
        <f t="shared" si="23"/>
        <v>2.3716666666666666</v>
      </c>
      <c r="AU9" s="40">
        <f t="shared" si="24"/>
        <v>2.2316666666666665</v>
      </c>
      <c r="AV9" s="41">
        <f t="shared" si="25"/>
        <v>0.10374832663989306</v>
      </c>
      <c r="AX9" s="150">
        <f t="shared" si="26"/>
        <v>2.4900000000000002</v>
      </c>
      <c r="AY9" s="151">
        <f t="shared" si="27"/>
        <v>0</v>
      </c>
      <c r="AZ9" s="160">
        <f t="shared" si="28"/>
        <v>2.4900000000000002</v>
      </c>
      <c r="BA9" s="164"/>
      <c r="BC9" s="86" t="s">
        <v>106</v>
      </c>
      <c r="BD9" s="86" t="s">
        <v>263</v>
      </c>
      <c r="BE9" s="87" t="s">
        <v>264</v>
      </c>
      <c r="BF9" s="87">
        <v>387000650117</v>
      </c>
      <c r="BG9" s="86" t="s">
        <v>265</v>
      </c>
      <c r="BH9" s="86">
        <v>2222</v>
      </c>
      <c r="BI9" s="86" t="s">
        <v>266</v>
      </c>
      <c r="BJ9" s="86">
        <v>13312250</v>
      </c>
      <c r="BK9" s="86" t="s">
        <v>267</v>
      </c>
      <c r="BL9" s="86" t="s">
        <v>108</v>
      </c>
    </row>
    <row r="10" spans="1:64 16368:16368" ht="14.25" customHeight="1" thickBot="1" x14ac:dyDescent="0.25">
      <c r="A10" s="52">
        <f t="shared" si="29"/>
        <v>4.1999999999999996E-2</v>
      </c>
      <c r="B10" s="27">
        <v>96.096000000000004</v>
      </c>
      <c r="C10" s="47">
        <f t="shared" si="0"/>
        <v>2288.0000000000005</v>
      </c>
      <c r="D10" s="47" t="s">
        <v>92</v>
      </c>
      <c r="E10" s="47" t="s">
        <v>97</v>
      </c>
      <c r="F10" s="22">
        <v>903797</v>
      </c>
      <c r="G10" s="20">
        <v>1155678</v>
      </c>
      <c r="H10" s="75" t="s">
        <v>98</v>
      </c>
      <c r="I10" s="22">
        <v>12</v>
      </c>
      <c r="J10" s="22">
        <v>286</v>
      </c>
      <c r="K10" s="10">
        <f t="shared" si="30"/>
        <v>6864</v>
      </c>
      <c r="L10" s="125">
        <f t="shared" si="31"/>
        <v>2288.0000000000005</v>
      </c>
      <c r="M10" s="179">
        <f t="shared" si="2"/>
        <v>8.0000000000000018</v>
      </c>
      <c r="N10" s="84">
        <f t="shared" si="3"/>
        <v>0.33333333333333343</v>
      </c>
      <c r="O10" s="148">
        <v>31.52</v>
      </c>
      <c r="P10" s="135">
        <f t="shared" si="4"/>
        <v>2.6266666666666665</v>
      </c>
      <c r="Q10" s="13">
        <f t="shared" si="5"/>
        <v>1.6800000000000002</v>
      </c>
      <c r="R10" s="13">
        <v>0.14000000000000001</v>
      </c>
      <c r="S10" s="74">
        <f t="shared" si="6"/>
        <v>0</v>
      </c>
      <c r="T10" s="74">
        <v>0</v>
      </c>
      <c r="U10" s="121">
        <f t="shared" si="7"/>
        <v>0.14000000000000001</v>
      </c>
      <c r="V10" s="36">
        <f>VLOOKUP(F10,'[1]Proposta HNK para Tenda'!$F:$T,15,0)</f>
        <v>3.0900000000000003</v>
      </c>
      <c r="W10" s="36">
        <f>VLOOKUP(F10,'[1]Proposta HNK para Tenda'!$F:$U,16,0)</f>
        <v>2.7900000000000005</v>
      </c>
      <c r="X10" s="36"/>
      <c r="Y10" s="8">
        <f t="shared" si="8"/>
        <v>3843.8400000000011</v>
      </c>
      <c r="Z10" s="8">
        <f t="shared" si="9"/>
        <v>72117.760000000009</v>
      </c>
      <c r="AA10" s="76">
        <f t="shared" si="10"/>
        <v>96.096000000000018</v>
      </c>
      <c r="AB10" s="43"/>
      <c r="AC10" s="44">
        <f t="shared" si="11"/>
        <v>0.13548499999999999</v>
      </c>
      <c r="AD10" s="39">
        <f t="shared" si="12"/>
        <v>0.14000000000000001</v>
      </c>
      <c r="AE10" s="39">
        <f t="shared" si="13"/>
        <v>-4.515000000000019E-3</v>
      </c>
      <c r="AG10" s="175">
        <v>38.71</v>
      </c>
      <c r="AH10" s="175">
        <f t="shared" si="14"/>
        <v>3719.8761600000007</v>
      </c>
      <c r="AI10" s="175">
        <f t="shared" si="15"/>
        <v>0.13548499999999999</v>
      </c>
      <c r="AJ10" s="7"/>
      <c r="AK10" s="7">
        <f t="shared" si="16"/>
        <v>0</v>
      </c>
      <c r="AL10" s="7">
        <f t="shared" si="17"/>
        <v>0</v>
      </c>
      <c r="AM10" s="7">
        <v>0</v>
      </c>
      <c r="AN10" s="7">
        <f t="shared" si="18"/>
        <v>0</v>
      </c>
      <c r="AO10" s="7">
        <f t="shared" si="19"/>
        <v>0</v>
      </c>
      <c r="AP10" s="7">
        <f t="shared" si="20"/>
        <v>3719.8761600000007</v>
      </c>
      <c r="AQ10" s="7">
        <f t="shared" si="20"/>
        <v>0.13548499999999999</v>
      </c>
      <c r="AR10" s="40">
        <f t="shared" si="21"/>
        <v>3843.8400000000011</v>
      </c>
      <c r="AS10" s="82">
        <f t="shared" si="22"/>
        <v>-123.96384000000035</v>
      </c>
      <c r="AT10" s="7">
        <f t="shared" si="23"/>
        <v>2.6266666666666665</v>
      </c>
      <c r="AU10" s="40">
        <f t="shared" si="24"/>
        <v>2.4866666666666664</v>
      </c>
      <c r="AV10" s="41">
        <f t="shared" si="25"/>
        <v>0.10872162485065737</v>
      </c>
      <c r="AX10" s="150">
        <f t="shared" si="26"/>
        <v>2.7900000000000005</v>
      </c>
      <c r="AY10" s="151">
        <f t="shared" si="27"/>
        <v>0</v>
      </c>
      <c r="AZ10" s="160">
        <f t="shared" si="28"/>
        <v>2.7900000000000005</v>
      </c>
      <c r="BA10" s="164"/>
      <c r="BC10" s="86" t="s">
        <v>106</v>
      </c>
      <c r="BD10" s="86" t="s">
        <v>263</v>
      </c>
      <c r="BE10" s="87" t="s">
        <v>264</v>
      </c>
      <c r="BF10" s="87">
        <v>387000650117</v>
      </c>
      <c r="BG10" s="86" t="s">
        <v>265</v>
      </c>
      <c r="BH10" s="86">
        <v>2222</v>
      </c>
      <c r="BI10" s="86" t="s">
        <v>266</v>
      </c>
      <c r="BJ10" s="86">
        <v>13312250</v>
      </c>
      <c r="BK10" s="86" t="s">
        <v>267</v>
      </c>
      <c r="BL10" s="86" t="s">
        <v>108</v>
      </c>
    </row>
    <row r="11" spans="1:64 16368:16368" ht="14.25" customHeight="1" thickBot="1" x14ac:dyDescent="0.25">
      <c r="A11" s="52">
        <f t="shared" si="29"/>
        <v>4.1999999999999996E-2</v>
      </c>
      <c r="B11" s="27">
        <v>72.072000000000003</v>
      </c>
      <c r="C11" s="47">
        <f t="shared" si="0"/>
        <v>1716.0000000000002</v>
      </c>
      <c r="D11" s="47" t="s">
        <v>92</v>
      </c>
      <c r="E11" s="47" t="s">
        <v>97</v>
      </c>
      <c r="F11" s="22">
        <v>904496</v>
      </c>
      <c r="G11" s="77">
        <v>1155679</v>
      </c>
      <c r="H11" s="78" t="s">
        <v>99</v>
      </c>
      <c r="I11" s="79">
        <v>12</v>
      </c>
      <c r="J11" s="79">
        <v>286</v>
      </c>
      <c r="K11" s="80">
        <f t="shared" si="30"/>
        <v>6864</v>
      </c>
      <c r="L11" s="125">
        <f t="shared" si="31"/>
        <v>1716.0000000000002</v>
      </c>
      <c r="M11" s="181">
        <f t="shared" si="2"/>
        <v>6.0000000000000009</v>
      </c>
      <c r="N11" s="85">
        <f t="shared" si="3"/>
        <v>0.25000000000000006</v>
      </c>
      <c r="O11" s="148">
        <v>31.52</v>
      </c>
      <c r="P11" s="135">
        <f t="shared" si="4"/>
        <v>2.6266666666666665</v>
      </c>
      <c r="Q11" s="13">
        <f t="shared" si="5"/>
        <v>1.6800000000000002</v>
      </c>
      <c r="R11" s="13">
        <v>0.14000000000000001</v>
      </c>
      <c r="S11" s="74">
        <f t="shared" si="6"/>
        <v>0</v>
      </c>
      <c r="T11" s="74">
        <v>0</v>
      </c>
      <c r="U11" s="121">
        <f t="shared" si="7"/>
        <v>0.14000000000000001</v>
      </c>
      <c r="V11" s="36">
        <v>3.0900000000000003</v>
      </c>
      <c r="W11" s="36">
        <v>2.7900000000000005</v>
      </c>
      <c r="X11" s="36"/>
      <c r="Y11" s="8">
        <f t="shared" si="8"/>
        <v>2882.8800000000006</v>
      </c>
      <c r="Z11" s="8">
        <f t="shared" si="9"/>
        <v>54088.320000000007</v>
      </c>
      <c r="AA11" s="76">
        <f t="shared" si="10"/>
        <v>72.072000000000003</v>
      </c>
      <c r="AB11" s="43"/>
      <c r="AC11" s="44">
        <f t="shared" si="11"/>
        <v>0.13548499999999999</v>
      </c>
      <c r="AD11" s="39">
        <f t="shared" si="12"/>
        <v>0.14000000000000001</v>
      </c>
      <c r="AE11" s="39">
        <f t="shared" si="13"/>
        <v>-4.515000000000019E-3</v>
      </c>
      <c r="AG11" s="175">
        <v>38.71</v>
      </c>
      <c r="AH11" s="175">
        <f t="shared" si="14"/>
        <v>2789.9071200000003</v>
      </c>
      <c r="AI11" s="175">
        <f t="shared" si="15"/>
        <v>0.13548499999999999</v>
      </c>
      <c r="AJ11" s="7"/>
      <c r="AK11" s="7">
        <f t="shared" si="16"/>
        <v>0</v>
      </c>
      <c r="AL11" s="7">
        <f t="shared" si="17"/>
        <v>0</v>
      </c>
      <c r="AM11" s="7">
        <v>0</v>
      </c>
      <c r="AN11" s="7">
        <f t="shared" si="18"/>
        <v>0</v>
      </c>
      <c r="AO11" s="7">
        <f t="shared" si="19"/>
        <v>0</v>
      </c>
      <c r="AP11" s="7">
        <f t="shared" si="20"/>
        <v>2789.9071200000003</v>
      </c>
      <c r="AQ11" s="7">
        <f t="shared" si="20"/>
        <v>0.13548499999999999</v>
      </c>
      <c r="AR11" s="40">
        <f t="shared" si="21"/>
        <v>2882.8800000000006</v>
      </c>
      <c r="AS11" s="82">
        <f t="shared" si="22"/>
        <v>-92.972880000000259</v>
      </c>
      <c r="AT11" s="7">
        <f t="shared" si="23"/>
        <v>2.6266666666666665</v>
      </c>
      <c r="AU11" s="40">
        <f t="shared" si="24"/>
        <v>2.4866666666666664</v>
      </c>
      <c r="AV11" s="41">
        <f t="shared" si="25"/>
        <v>0.10872162485065737</v>
      </c>
      <c r="AX11" s="150">
        <f t="shared" si="26"/>
        <v>2.7900000000000005</v>
      </c>
      <c r="AY11" s="151">
        <f t="shared" si="27"/>
        <v>0</v>
      </c>
      <c r="AZ11" s="160">
        <f t="shared" si="28"/>
        <v>2.7900000000000005</v>
      </c>
      <c r="BA11" s="164"/>
      <c r="BC11" s="86" t="s">
        <v>106</v>
      </c>
      <c r="BD11" s="86" t="s">
        <v>263</v>
      </c>
      <c r="BE11" s="87" t="s">
        <v>264</v>
      </c>
      <c r="BF11" s="87">
        <v>387000650117</v>
      </c>
      <c r="BG11" s="86" t="s">
        <v>265</v>
      </c>
      <c r="BH11" s="86">
        <v>2222</v>
      </c>
      <c r="BI11" s="86" t="s">
        <v>266</v>
      </c>
      <c r="BJ11" s="86">
        <v>13312250</v>
      </c>
      <c r="BK11" s="86" t="s">
        <v>267</v>
      </c>
      <c r="BL11" s="86" t="s">
        <v>108</v>
      </c>
    </row>
    <row r="12" spans="1:64 16368:16368" ht="14.25" customHeight="1" thickBot="1" x14ac:dyDescent="0.25">
      <c r="A12" s="52">
        <f>0.355*24/100</f>
        <v>8.5199999999999998E-2</v>
      </c>
      <c r="B12" s="27">
        <v>715.68000000000006</v>
      </c>
      <c r="C12" s="47">
        <f t="shared" si="0"/>
        <v>8400.0000000000018</v>
      </c>
      <c r="D12" s="47" t="s">
        <v>92</v>
      </c>
      <c r="E12" s="47" t="s">
        <v>100</v>
      </c>
      <c r="F12" s="20">
        <v>900525</v>
      </c>
      <c r="G12" s="22">
        <v>90725</v>
      </c>
      <c r="H12" s="75" t="s">
        <v>101</v>
      </c>
      <c r="I12" s="22">
        <v>12</v>
      </c>
      <c r="J12" s="22">
        <v>175</v>
      </c>
      <c r="K12" s="10">
        <f>J12*24</f>
        <v>4200</v>
      </c>
      <c r="L12" s="125">
        <f t="shared" si="31"/>
        <v>8400.0000000000018</v>
      </c>
      <c r="M12" s="179">
        <f t="shared" si="2"/>
        <v>48.000000000000007</v>
      </c>
      <c r="N12" s="84">
        <f t="shared" si="3"/>
        <v>2.0000000000000004</v>
      </c>
      <c r="O12" s="148">
        <v>34.58</v>
      </c>
      <c r="P12" s="135">
        <f t="shared" si="4"/>
        <v>2.8816666666666664</v>
      </c>
      <c r="Q12" s="9">
        <f t="shared" si="5"/>
        <v>0</v>
      </c>
      <c r="R12" s="9">
        <v>0</v>
      </c>
      <c r="S12" s="29">
        <f t="shared" si="6"/>
        <v>0</v>
      </c>
      <c r="T12" s="29">
        <v>0</v>
      </c>
      <c r="U12" s="121">
        <f t="shared" si="7"/>
        <v>0</v>
      </c>
      <c r="V12" s="36">
        <f>VLOOKUP(F12,'[1]Proposta HNK para Tenda'!$F:$T,15,0)</f>
        <v>3.3900000000000006</v>
      </c>
      <c r="W12" s="36">
        <f>VLOOKUP(F12,'[1]Proposta HNK para Tenda'!$F:$U,16,0)</f>
        <v>3.3900000000000006</v>
      </c>
      <c r="X12" s="36"/>
      <c r="Y12" s="8">
        <f t="shared" si="8"/>
        <v>0</v>
      </c>
      <c r="Z12" s="8">
        <f t="shared" si="9"/>
        <v>290472.00000000006</v>
      </c>
      <c r="AA12" s="76">
        <f>L12*24*0.355/100</f>
        <v>715.68000000000018</v>
      </c>
      <c r="AB12" s="43"/>
      <c r="AC12" s="44">
        <f t="shared" si="11"/>
        <v>0</v>
      </c>
      <c r="AD12" s="39">
        <f t="shared" si="12"/>
        <v>0</v>
      </c>
      <c r="AE12" s="39">
        <f t="shared" si="13"/>
        <v>0</v>
      </c>
      <c r="AG12" s="137">
        <v>0</v>
      </c>
      <c r="AH12" s="137">
        <f t="shared" si="14"/>
        <v>0</v>
      </c>
      <c r="AI12" s="137">
        <f t="shared" si="15"/>
        <v>0</v>
      </c>
      <c r="AJ12" s="7"/>
      <c r="AK12" s="7">
        <f t="shared" si="16"/>
        <v>0</v>
      </c>
      <c r="AL12" s="7">
        <f t="shared" si="17"/>
        <v>0</v>
      </c>
      <c r="AM12" s="7">
        <v>0</v>
      </c>
      <c r="AN12" s="7">
        <f t="shared" si="18"/>
        <v>0</v>
      </c>
      <c r="AO12" s="7">
        <f t="shared" si="19"/>
        <v>0</v>
      </c>
      <c r="AP12" s="7">
        <f t="shared" si="20"/>
        <v>0</v>
      </c>
      <c r="AQ12" s="7">
        <f t="shared" si="20"/>
        <v>0</v>
      </c>
      <c r="AR12" s="40">
        <f t="shared" si="21"/>
        <v>0</v>
      </c>
      <c r="AS12" s="40">
        <f t="shared" si="22"/>
        <v>0</v>
      </c>
      <c r="AT12" s="7">
        <f t="shared" si="23"/>
        <v>2.8816666666666664</v>
      </c>
      <c r="AU12" s="40">
        <f t="shared" si="24"/>
        <v>2.8816666666666664</v>
      </c>
      <c r="AV12" s="41">
        <f t="shared" si="25"/>
        <v>0.14995083579154397</v>
      </c>
      <c r="AX12" s="150">
        <f t="shared" si="26"/>
        <v>3.3900000000000006</v>
      </c>
      <c r="AY12" s="151">
        <f t="shared" si="27"/>
        <v>0</v>
      </c>
      <c r="AZ12" s="160">
        <f t="shared" si="28"/>
        <v>3.3900000000000006</v>
      </c>
      <c r="BA12" s="164"/>
      <c r="BC12" s="86" t="s">
        <v>106</v>
      </c>
      <c r="BD12" s="86" t="s">
        <v>263</v>
      </c>
      <c r="BE12" s="87" t="s">
        <v>264</v>
      </c>
      <c r="BF12" s="87">
        <v>387000650117</v>
      </c>
      <c r="BG12" s="86" t="s">
        <v>265</v>
      </c>
      <c r="BH12" s="86">
        <v>2222</v>
      </c>
      <c r="BI12" s="86" t="s">
        <v>266</v>
      </c>
      <c r="BJ12" s="86">
        <v>13312250</v>
      </c>
      <c r="BK12" s="86" t="s">
        <v>267</v>
      </c>
      <c r="BL12" s="86" t="s">
        <v>108</v>
      </c>
    </row>
    <row r="13" spans="1:64 16368:16368" ht="14.25" customHeight="1" thickBot="1" x14ac:dyDescent="0.25">
      <c r="A13" s="52">
        <f t="shared" si="29"/>
        <v>4.1999999999999996E-2</v>
      </c>
      <c r="B13" s="27"/>
      <c r="C13" s="47">
        <f t="shared" si="0"/>
        <v>0</v>
      </c>
      <c r="D13" s="47" t="s">
        <v>92</v>
      </c>
      <c r="E13" s="47" t="s">
        <v>100</v>
      </c>
      <c r="F13" s="20">
        <v>902321</v>
      </c>
      <c r="G13" s="21">
        <v>1015460</v>
      </c>
      <c r="H13" s="75" t="s">
        <v>102</v>
      </c>
      <c r="I13" s="22">
        <v>12</v>
      </c>
      <c r="J13" s="22">
        <v>286</v>
      </c>
      <c r="K13" s="10">
        <f>J13*24</f>
        <v>6864</v>
      </c>
      <c r="L13" s="125">
        <f t="shared" si="31"/>
        <v>0</v>
      </c>
      <c r="M13" s="179">
        <f t="shared" si="2"/>
        <v>0</v>
      </c>
      <c r="N13" s="84">
        <f t="shared" si="3"/>
        <v>0</v>
      </c>
      <c r="O13" s="148">
        <v>29.48</v>
      </c>
      <c r="P13" s="135">
        <f t="shared" si="4"/>
        <v>2.4566666666666666</v>
      </c>
      <c r="Q13" s="13">
        <f t="shared" si="5"/>
        <v>0.84000000000000008</v>
      </c>
      <c r="R13" s="13">
        <v>7.0000000000000007E-2</v>
      </c>
      <c r="S13" s="74">
        <f t="shared" si="6"/>
        <v>0</v>
      </c>
      <c r="T13" s="74">
        <v>0</v>
      </c>
      <c r="U13" s="121">
        <f t="shared" si="7"/>
        <v>7.0000000000000007E-2</v>
      </c>
      <c r="V13" s="36">
        <f>VLOOKUP(F13,'[1]Proposta HNK para Tenda'!$F:$T,15,0)</f>
        <v>2.8900000000000006</v>
      </c>
      <c r="W13" s="36">
        <f>VLOOKUP(F13,'[1]Proposta HNK para Tenda'!$F:$U,16,0)</f>
        <v>2.5900000000000003</v>
      </c>
      <c r="X13" s="36"/>
      <c r="Y13" s="8">
        <f t="shared" si="8"/>
        <v>0</v>
      </c>
      <c r="Z13" s="8">
        <f t="shared" si="9"/>
        <v>0</v>
      </c>
      <c r="AA13" s="76">
        <f>L13*12*0.35/100</f>
        <v>0</v>
      </c>
      <c r="AB13" s="43"/>
      <c r="AC13" s="44" t="e">
        <f t="shared" si="11"/>
        <v>#DIV/0!</v>
      </c>
      <c r="AD13" s="39">
        <f t="shared" si="12"/>
        <v>7.0000000000000007E-2</v>
      </c>
      <c r="AE13" s="39" t="e">
        <f t="shared" si="13"/>
        <v>#DIV/0!</v>
      </c>
      <c r="AG13" s="175">
        <v>24.14</v>
      </c>
      <c r="AH13" s="175">
        <f t="shared" si="14"/>
        <v>0</v>
      </c>
      <c r="AI13" s="175" t="e">
        <f t="shared" si="15"/>
        <v>#DIV/0!</v>
      </c>
      <c r="AJ13" s="7"/>
      <c r="AK13" s="7">
        <f t="shared" si="16"/>
        <v>0</v>
      </c>
      <c r="AL13" s="7" t="e">
        <f t="shared" si="17"/>
        <v>#DIV/0!</v>
      </c>
      <c r="AM13" s="7">
        <v>0</v>
      </c>
      <c r="AN13" s="7">
        <f t="shared" si="18"/>
        <v>0</v>
      </c>
      <c r="AO13" s="7" t="e">
        <f t="shared" si="19"/>
        <v>#DIV/0!</v>
      </c>
      <c r="AP13" s="7">
        <f t="shared" si="20"/>
        <v>0</v>
      </c>
      <c r="AQ13" s="7" t="e">
        <f t="shared" si="20"/>
        <v>#DIV/0!</v>
      </c>
      <c r="AR13" s="40">
        <f t="shared" si="21"/>
        <v>0</v>
      </c>
      <c r="AS13" s="40">
        <f t="shared" si="22"/>
        <v>0</v>
      </c>
      <c r="AT13" s="7">
        <f t="shared" si="23"/>
        <v>2.4566666666666666</v>
      </c>
      <c r="AU13" s="40">
        <f t="shared" si="24"/>
        <v>2.3866666666666667</v>
      </c>
      <c r="AV13" s="41">
        <f t="shared" si="25"/>
        <v>7.8507078507078595E-2</v>
      </c>
      <c r="AX13" s="150">
        <f t="shared" si="26"/>
        <v>2.5900000000000003</v>
      </c>
      <c r="AY13" s="151">
        <f t="shared" si="27"/>
        <v>0</v>
      </c>
      <c r="AZ13" s="160">
        <f t="shared" si="28"/>
        <v>2.5900000000000003</v>
      </c>
      <c r="BA13" s="164"/>
      <c r="BC13" s="86" t="s">
        <v>106</v>
      </c>
      <c r="BD13" s="86" t="s">
        <v>263</v>
      </c>
      <c r="BE13" s="87" t="s">
        <v>264</v>
      </c>
      <c r="BF13" s="87">
        <v>387000650117</v>
      </c>
      <c r="BG13" s="86" t="s">
        <v>265</v>
      </c>
      <c r="BH13" s="86">
        <v>2222</v>
      </c>
      <c r="BI13" s="86" t="s">
        <v>266</v>
      </c>
      <c r="BJ13" s="86">
        <v>13312250</v>
      </c>
      <c r="BK13" s="86" t="s">
        <v>267</v>
      </c>
      <c r="BL13" s="86" t="s">
        <v>108</v>
      </c>
    </row>
    <row r="14" spans="1:64 16368:16368" ht="14.25" customHeight="1" thickBot="1" x14ac:dyDescent="0.25">
      <c r="A14" s="52">
        <f>0.5*12/100</f>
        <v>0.06</v>
      </c>
      <c r="B14" s="27">
        <v>823.68</v>
      </c>
      <c r="C14" s="47">
        <f t="shared" si="0"/>
        <v>13728</v>
      </c>
      <c r="D14" s="47" t="s">
        <v>92</v>
      </c>
      <c r="E14" s="47" t="s">
        <v>100</v>
      </c>
      <c r="F14" s="20">
        <v>903318</v>
      </c>
      <c r="G14" s="20">
        <v>1059549</v>
      </c>
      <c r="H14" s="75" t="s">
        <v>103</v>
      </c>
      <c r="I14" s="22">
        <v>12</v>
      </c>
      <c r="J14" s="22">
        <v>176</v>
      </c>
      <c r="K14" s="10">
        <f>J14*24</f>
        <v>4224</v>
      </c>
      <c r="L14" s="125">
        <f t="shared" si="31"/>
        <v>13728</v>
      </c>
      <c r="M14" s="179">
        <f t="shared" si="2"/>
        <v>78</v>
      </c>
      <c r="N14" s="84">
        <f>M14/24</f>
        <v>3.25</v>
      </c>
      <c r="O14" s="148">
        <v>35.6</v>
      </c>
      <c r="P14" s="135">
        <f t="shared" si="4"/>
        <v>2.9666666666666668</v>
      </c>
      <c r="Q14" s="13">
        <f t="shared" si="5"/>
        <v>0.60000000000000009</v>
      </c>
      <c r="R14" s="13">
        <v>0.05</v>
      </c>
      <c r="S14" s="74">
        <f t="shared" si="6"/>
        <v>0</v>
      </c>
      <c r="T14" s="74">
        <v>0</v>
      </c>
      <c r="U14" s="121">
        <f t="shared" si="7"/>
        <v>0.05</v>
      </c>
      <c r="V14" s="36">
        <f>VLOOKUP(F14,'[1]Proposta HNK para Tenda'!$F:$T,15,0)</f>
        <v>3.49</v>
      </c>
      <c r="W14" s="36">
        <f>VLOOKUP(F14,'[1]Proposta HNK para Tenda'!$F:$U,16,0)</f>
        <v>3.19</v>
      </c>
      <c r="X14" s="36"/>
      <c r="Y14" s="8">
        <f t="shared" si="8"/>
        <v>8236.8000000000011</v>
      </c>
      <c r="Z14" s="8">
        <f t="shared" si="9"/>
        <v>488716.80000000005</v>
      </c>
      <c r="AA14" s="76">
        <f>L14*12*0.5/100</f>
        <v>823.68</v>
      </c>
      <c r="AB14" s="43"/>
      <c r="AC14" s="44">
        <f t="shared" si="11"/>
        <v>5.1499999999999997E-2</v>
      </c>
      <c r="AD14" s="39">
        <f t="shared" si="12"/>
        <v>0.05</v>
      </c>
      <c r="AE14" s="39">
        <f t="shared" si="13"/>
        <v>1.4999999999999944E-3</v>
      </c>
      <c r="AG14" s="175">
        <v>10.3</v>
      </c>
      <c r="AH14" s="175">
        <f t="shared" si="14"/>
        <v>8483.9040000000005</v>
      </c>
      <c r="AI14" s="175">
        <f t="shared" si="15"/>
        <v>5.1499999999999997E-2</v>
      </c>
      <c r="AJ14" s="7"/>
      <c r="AK14" s="7">
        <f t="shared" si="16"/>
        <v>0</v>
      </c>
      <c r="AL14" s="7">
        <f t="shared" si="17"/>
        <v>0</v>
      </c>
      <c r="AM14" s="7">
        <v>0</v>
      </c>
      <c r="AN14" s="7">
        <f t="shared" si="18"/>
        <v>0</v>
      </c>
      <c r="AO14" s="7">
        <f t="shared" si="19"/>
        <v>0</v>
      </c>
      <c r="AP14" s="7">
        <f t="shared" si="20"/>
        <v>8483.9040000000005</v>
      </c>
      <c r="AQ14" s="7">
        <f t="shared" si="20"/>
        <v>5.1499999999999997E-2</v>
      </c>
      <c r="AR14" s="40">
        <f t="shared" si="21"/>
        <v>8236.8000000000011</v>
      </c>
      <c r="AS14" s="40">
        <f t="shared" si="22"/>
        <v>247.10399999999936</v>
      </c>
      <c r="AT14" s="7">
        <f t="shared" si="23"/>
        <v>2.9666666666666668</v>
      </c>
      <c r="AU14" s="40">
        <f t="shared" si="24"/>
        <v>2.916666666666667</v>
      </c>
      <c r="AV14" s="41">
        <f t="shared" si="25"/>
        <v>8.5684430512016616E-2</v>
      </c>
      <c r="AX14" s="150">
        <f t="shared" si="26"/>
        <v>3.19</v>
      </c>
      <c r="AY14" s="152">
        <f t="shared" si="27"/>
        <v>0</v>
      </c>
      <c r="AZ14" s="161">
        <f t="shared" si="28"/>
        <v>3.19</v>
      </c>
      <c r="BA14" s="165"/>
      <c r="BC14" s="86" t="s">
        <v>106</v>
      </c>
      <c r="BD14" s="86" t="s">
        <v>263</v>
      </c>
      <c r="BE14" s="87" t="s">
        <v>264</v>
      </c>
      <c r="BF14" s="87">
        <v>387000650117</v>
      </c>
      <c r="BG14" s="86" t="s">
        <v>265</v>
      </c>
      <c r="BH14" s="86">
        <v>2222</v>
      </c>
      <c r="BI14" s="86" t="s">
        <v>266</v>
      </c>
      <c r="BJ14" s="86">
        <v>13312250</v>
      </c>
      <c r="BK14" s="86" t="s">
        <v>267</v>
      </c>
      <c r="BL14" s="86" t="s">
        <v>108</v>
      </c>
    </row>
    <row r="15" spans="1:64 16368:16368" ht="14.25" customHeight="1" x14ac:dyDescent="0.2">
      <c r="B15" s="27"/>
      <c r="N15" s="6">
        <f>SUM(N5:N14)</f>
        <v>6.2083333333333339</v>
      </c>
      <c r="T15" s="2"/>
      <c r="U15" s="2"/>
      <c r="V15" s="2"/>
      <c r="W15" s="2"/>
      <c r="X15" s="2"/>
      <c r="Y15" s="5">
        <f>SUBTOTAL(9,Y5:Y14)</f>
        <v>19287.840000000004</v>
      </c>
      <c r="Z15" s="5">
        <f>SUBTOTAL(9,Z5:Z14)</f>
        <v>978650.92000000016</v>
      </c>
      <c r="AA15" s="4">
        <f>SUBTOTAL(9,AA5:AA14)</f>
        <v>1815.636</v>
      </c>
      <c r="AB15" s="54"/>
      <c r="AC15" s="58"/>
      <c r="AD15" s="58"/>
      <c r="AE15" s="58"/>
      <c r="AG15" s="54"/>
      <c r="AH15" s="59">
        <f>SUBTOTAL(9,AH5:AH14)</f>
        <v>19178.547960000004</v>
      </c>
      <c r="AI15" s="54"/>
      <c r="AJ15" s="54"/>
      <c r="AK15" s="59">
        <f>SUBTOTAL(9,AK5:AK14)</f>
        <v>0</v>
      </c>
      <c r="AL15" s="54"/>
      <c r="AM15" s="54"/>
      <c r="AN15" s="59">
        <f>SUBTOTAL(9,AN5:AN14)</f>
        <v>0</v>
      </c>
      <c r="AO15" s="54"/>
      <c r="AP15" s="59">
        <f>SUBTOTAL(9,AP5:AP14)</f>
        <v>19178.547960000004</v>
      </c>
      <c r="AQ15" s="54"/>
      <c r="AR15" s="60">
        <f>SUM(AR5:AR14)</f>
        <v>19287.840000000004</v>
      </c>
      <c r="AS15" s="60">
        <f>AP15-AR15</f>
        <v>-109.29204000000027</v>
      </c>
      <c r="AT15" s="54"/>
      <c r="AU15" s="54"/>
      <c r="AV15" s="54"/>
      <c r="AX15" s="58"/>
      <c r="AY15" s="58"/>
      <c r="AZ15" s="58"/>
      <c r="BA15" s="58"/>
      <c r="XEN15" s="3">
        <f>SUM(XEN5:XFD14)</f>
        <v>0</v>
      </c>
    </row>
    <row r="16" spans="1:64 16368:16368" ht="14.25" customHeight="1" x14ac:dyDescent="0.2">
      <c r="B16" s="27"/>
      <c r="K16" s="18"/>
      <c r="T16" s="12"/>
      <c r="U16" s="12"/>
      <c r="V16" s="2"/>
      <c r="W16" s="2"/>
      <c r="X16" s="2"/>
      <c r="Y16" s="2"/>
      <c r="AA16" s="6"/>
      <c r="AC16" s="6"/>
      <c r="AD16" s="6"/>
      <c r="AE16" s="6"/>
      <c r="AP16" s="3"/>
      <c r="AX16" s="6"/>
      <c r="AY16" s="6"/>
      <c r="AZ16" s="6"/>
      <c r="BA16" s="6"/>
    </row>
    <row r="17" spans="20:53" ht="14.25" customHeight="1" x14ac:dyDescent="0.2">
      <c r="V17" s="2"/>
      <c r="W17" s="2"/>
      <c r="X17" s="2"/>
      <c r="Y17" s="23"/>
      <c r="Z17" s="23"/>
      <c r="AD17" s="6"/>
      <c r="AG17" s="65" t="s">
        <v>61</v>
      </c>
      <c r="AH17" s="66">
        <f>AP15</f>
        <v>19178.547960000004</v>
      </c>
      <c r="AI17" s="3"/>
      <c r="AL17" s="3"/>
      <c r="AO17" s="3"/>
      <c r="AP17" s="3"/>
      <c r="AQ17" s="3"/>
    </row>
    <row r="18" spans="20:53" ht="14.25" customHeight="1" x14ac:dyDescent="0.2">
      <c r="T18" s="12"/>
      <c r="U18" s="12"/>
      <c r="V18" s="12"/>
      <c r="Y18" s="2"/>
      <c r="Z18" s="23"/>
      <c r="AA18" s="6"/>
      <c r="AD18" s="6"/>
      <c r="AE18" s="6"/>
      <c r="AG18" s="67" t="s">
        <v>88</v>
      </c>
      <c r="AH18" s="68">
        <f>Y15</f>
        <v>19287.840000000004</v>
      </c>
      <c r="AI18" s="31"/>
      <c r="AP18" s="3"/>
      <c r="AQ18" s="3"/>
      <c r="AX18" s="6"/>
      <c r="AY18" s="6"/>
      <c r="AZ18" s="6"/>
      <c r="BA18" s="6"/>
    </row>
    <row r="19" spans="20:53" ht="14.25" customHeight="1" x14ac:dyDescent="0.2">
      <c r="Z19" s="6"/>
      <c r="AA19" s="6"/>
      <c r="AG19" s="69" t="s">
        <v>71</v>
      </c>
      <c r="AH19" s="70">
        <f>AH17-AH18</f>
        <v>-109.29204000000027</v>
      </c>
      <c r="AI19" s="3">
        <v>366046.2</v>
      </c>
      <c r="AO19" s="3"/>
      <c r="AP19" s="3"/>
      <c r="AX19" s="6"/>
      <c r="AY19" s="6"/>
      <c r="AZ19" s="6"/>
      <c r="BA19" s="6"/>
    </row>
    <row r="20" spans="20:53" ht="14.25" customHeight="1" thickBot="1" x14ac:dyDescent="0.25">
      <c r="T20" s="3"/>
      <c r="U20" s="3"/>
      <c r="V20" s="3"/>
      <c r="Z20" s="6"/>
      <c r="AA20" s="6"/>
      <c r="AE20" s="2"/>
      <c r="AG20" s="2"/>
      <c r="AH20" s="2" t="s">
        <v>91</v>
      </c>
      <c r="AI20" s="3"/>
      <c r="AX20" s="2"/>
      <c r="AY20" s="2"/>
      <c r="AZ20" s="2"/>
      <c r="BA20" s="2"/>
    </row>
    <row r="21" spans="20:53" ht="14.25" customHeight="1" x14ac:dyDescent="0.2">
      <c r="W21" s="203" t="s">
        <v>90</v>
      </c>
      <c r="X21" s="204"/>
      <c r="Y21" s="205"/>
      <c r="Z21" s="6"/>
      <c r="AA21" s="6"/>
      <c r="AE21" s="23">
        <f>AH17/Z15</f>
        <v>1.9596924263863155E-2</v>
      </c>
      <c r="AG21" s="65" t="s">
        <v>86</v>
      </c>
      <c r="AH21" s="72">
        <f>AH17/Z15</f>
        <v>1.9596924263863155E-2</v>
      </c>
      <c r="AI21" s="3"/>
    </row>
    <row r="22" spans="20:53" ht="14.25" customHeight="1" x14ac:dyDescent="0.2">
      <c r="T22" s="23"/>
      <c r="U22" s="23"/>
      <c r="V22" s="23"/>
      <c r="W22" s="30" t="s">
        <v>104</v>
      </c>
      <c r="X22" s="30"/>
      <c r="Y22" s="81">
        <f>SUM(Y5:Y14)</f>
        <v>19287.840000000004</v>
      </c>
      <c r="Z22" s="6"/>
      <c r="AA22" s="6"/>
      <c r="AG22" s="71" t="s">
        <v>87</v>
      </c>
      <c r="AH22" s="73">
        <f>Y15/Z15</f>
        <v>1.9708600488517396E-2</v>
      </c>
    </row>
    <row r="23" spans="20:53" ht="14.25" customHeight="1" x14ac:dyDescent="0.2">
      <c r="Z23" s="31"/>
    </row>
    <row r="26" spans="20:53" ht="14.25" customHeight="1" x14ac:dyDescent="0.2">
      <c r="AG26" s="23"/>
    </row>
    <row r="28" spans="20:53" ht="14.25" customHeight="1" x14ac:dyDescent="0.2">
      <c r="Y28" s="88"/>
    </row>
  </sheetData>
  <mergeCells count="6">
    <mergeCell ref="AV3:AV4"/>
    <mergeCell ref="W21:Y21"/>
    <mergeCell ref="V3:X3"/>
    <mergeCell ref="AC3:AC4"/>
    <mergeCell ref="AD3:AD4"/>
    <mergeCell ref="AE3:AE4"/>
  </mergeCells>
  <pageMargins left="0.511811024" right="0.511811024" top="0.78740157499999996" bottom="0.78740157499999996" header="0.31496062000000002" footer="0.31496062000000002"/>
  <pageSetup orientation="portrait" r:id="rId1"/>
  <headerFooter>
    <oddFooter>&amp;R_x000D_&amp;1#&amp;"Calibri"&amp;11&amp;K000000 Este conteúdo foi classificado como Interno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2652-0C08-4C69-B50B-E0B4F84391B8}">
  <dimension ref="D2:F60"/>
  <sheetViews>
    <sheetView topLeftCell="A41" workbookViewId="0">
      <selection activeCell="D53" sqref="D53"/>
    </sheetView>
  </sheetViews>
  <sheetFormatPr defaultRowHeight="15" x14ac:dyDescent="0.25"/>
  <cols>
    <col min="5" max="5" width="37.140625" bestFit="1" customWidth="1"/>
  </cols>
  <sheetData>
    <row r="2" spans="4:6" x14ac:dyDescent="0.25">
      <c r="D2" s="126" t="s">
        <v>124</v>
      </c>
      <c r="E2" s="127"/>
      <c r="F2" s="130" t="s">
        <v>175</v>
      </c>
    </row>
    <row r="3" spans="4:6" ht="15.75" x14ac:dyDescent="0.3">
      <c r="D3" s="136">
        <v>904602</v>
      </c>
      <c r="E3" s="129" t="s">
        <v>187</v>
      </c>
      <c r="F3" s="133">
        <v>5.0098310064648448</v>
      </c>
    </row>
    <row r="4" spans="4:6" ht="15.75" x14ac:dyDescent="0.3">
      <c r="D4" s="136">
        <v>904612</v>
      </c>
      <c r="E4" s="129" t="s">
        <v>188</v>
      </c>
      <c r="F4" s="133">
        <v>12.387493325971475</v>
      </c>
    </row>
    <row r="5" spans="4:6" ht="15.75" x14ac:dyDescent="0.3">
      <c r="D5" s="136">
        <v>903741</v>
      </c>
      <c r="E5" s="129" t="s">
        <v>189</v>
      </c>
      <c r="F5" s="133">
        <v>5.894933361411514</v>
      </c>
    </row>
    <row r="6" spans="4:6" ht="15.75" x14ac:dyDescent="0.3">
      <c r="D6" s="136">
        <v>902544</v>
      </c>
      <c r="E6" s="129" t="s">
        <v>190</v>
      </c>
      <c r="F6" s="133">
        <v>5.6291775156513468</v>
      </c>
    </row>
    <row r="7" spans="4:6" ht="15.75" x14ac:dyDescent="0.3">
      <c r="D7" s="136">
        <v>902581</v>
      </c>
      <c r="E7" s="129" t="s">
        <v>191</v>
      </c>
      <c r="F7" s="133">
        <v>3.9785143998218149</v>
      </c>
    </row>
    <row r="8" spans="4:6" ht="15.75" x14ac:dyDescent="0.3">
      <c r="D8" s="136">
        <v>903681</v>
      </c>
      <c r="E8" s="129" t="s">
        <v>192</v>
      </c>
      <c r="F8" s="133">
        <v>17.452561060258553</v>
      </c>
    </row>
    <row r="9" spans="4:6" ht="15.75" x14ac:dyDescent="0.3">
      <c r="D9" s="136">
        <v>903683</v>
      </c>
      <c r="E9" s="129" t="s">
        <v>193</v>
      </c>
      <c r="F9" s="133">
        <v>33.175374857016735</v>
      </c>
    </row>
    <row r="10" spans="4:6" ht="15.75" x14ac:dyDescent="0.3">
      <c r="D10" s="136">
        <v>903901</v>
      </c>
      <c r="E10" s="129" t="s">
        <v>194</v>
      </c>
      <c r="F10" s="133">
        <v>2.5961263095001876</v>
      </c>
    </row>
    <row r="11" spans="4:6" ht="15.75" x14ac:dyDescent="0.3">
      <c r="D11" s="136">
        <v>904782</v>
      </c>
      <c r="E11" s="129" t="s">
        <v>195</v>
      </c>
      <c r="F11" s="133">
        <v>5.5383412037525046</v>
      </c>
    </row>
    <row r="12" spans="4:6" ht="15.75" x14ac:dyDescent="0.3">
      <c r="D12" s="136">
        <v>900118</v>
      </c>
      <c r="E12" s="129" t="s">
        <v>196</v>
      </c>
      <c r="F12" s="133">
        <v>5.9481990031035448</v>
      </c>
    </row>
    <row r="13" spans="4:6" ht="15.75" x14ac:dyDescent="0.3">
      <c r="D13" s="136">
        <v>902832</v>
      </c>
      <c r="E13" s="129" t="s">
        <v>197</v>
      </c>
      <c r="F13" s="133">
        <v>7.4611665297500274</v>
      </c>
    </row>
    <row r="14" spans="4:6" ht="15.75" x14ac:dyDescent="0.3">
      <c r="D14" s="136">
        <v>904742</v>
      </c>
      <c r="E14" s="129" t="s">
        <v>198</v>
      </c>
      <c r="F14" s="133">
        <v>2.9586870052133625</v>
      </c>
    </row>
    <row r="15" spans="4:6" ht="15.75" x14ac:dyDescent="0.3">
      <c r="D15" s="136">
        <v>900109</v>
      </c>
      <c r="E15" s="129" t="s">
        <v>199</v>
      </c>
      <c r="F15" s="133">
        <v>5.1478174848522329</v>
      </c>
    </row>
    <row r="16" spans="4:6" ht="15.75" x14ac:dyDescent="0.3">
      <c r="D16" s="136">
        <v>901162</v>
      </c>
      <c r="E16" s="129" t="s">
        <v>200</v>
      </c>
      <c r="F16" s="133">
        <v>6.1719832816502631</v>
      </c>
    </row>
    <row r="17" spans="4:6" ht="15.75" x14ac:dyDescent="0.3">
      <c r="D17" s="136">
        <v>904451</v>
      </c>
      <c r="E17" s="129" t="s">
        <v>201</v>
      </c>
      <c r="F17" s="133">
        <v>27.698971230513877</v>
      </c>
    </row>
    <row r="18" spans="4:6" ht="15.75" x14ac:dyDescent="0.3">
      <c r="D18" s="136">
        <v>904743</v>
      </c>
      <c r="E18" s="129" t="s">
        <v>202</v>
      </c>
      <c r="F18" s="133">
        <v>12.8718384739042</v>
      </c>
    </row>
    <row r="19" spans="4:6" ht="15.75" x14ac:dyDescent="0.3">
      <c r="D19" s="136">
        <v>904441</v>
      </c>
      <c r="E19" s="129" t="s">
        <v>203</v>
      </c>
      <c r="F19" s="133">
        <v>8.3101108017361387</v>
      </c>
    </row>
    <row r="20" spans="4:6" ht="15.75" x14ac:dyDescent="0.3">
      <c r="D20" s="136">
        <v>904193</v>
      </c>
      <c r="E20" s="129" t="s">
        <v>204</v>
      </c>
      <c r="F20" s="133">
        <v>21.928825538868569</v>
      </c>
    </row>
    <row r="21" spans="4:6" ht="15.75" x14ac:dyDescent="0.3">
      <c r="D21" s="136">
        <v>634957</v>
      </c>
      <c r="E21" s="129" t="s">
        <v>205</v>
      </c>
      <c r="F21" s="133">
        <v>0.7809190267724998</v>
      </c>
    </row>
    <row r="22" spans="4:6" ht="15.75" x14ac:dyDescent="0.3">
      <c r="D22" s="136">
        <v>634958</v>
      </c>
      <c r="E22" s="129" t="s">
        <v>206</v>
      </c>
      <c r="F22" s="133">
        <v>0.31236761070899988</v>
      </c>
    </row>
    <row r="23" spans="4:6" ht="15.75" x14ac:dyDescent="0.3">
      <c r="D23" s="136">
        <v>418502</v>
      </c>
      <c r="E23" s="129" t="s">
        <v>207</v>
      </c>
      <c r="F23" s="133">
        <v>0.46855141606350009</v>
      </c>
    </row>
    <row r="24" spans="4:6" ht="15.75" x14ac:dyDescent="0.3">
      <c r="D24" s="136">
        <v>905052</v>
      </c>
      <c r="E24" s="129" t="s">
        <v>208</v>
      </c>
      <c r="F24" s="133">
        <v>40.230639601668081</v>
      </c>
    </row>
    <row r="25" spans="4:6" ht="15.75" x14ac:dyDescent="0.3">
      <c r="D25" s="136">
        <v>904113</v>
      </c>
      <c r="E25" s="129" t="s">
        <v>209</v>
      </c>
      <c r="F25" s="133">
        <v>1663.6932576133315</v>
      </c>
    </row>
    <row r="26" spans="4:6" ht="15.75" x14ac:dyDescent="0.3">
      <c r="D26" s="136">
        <v>904952</v>
      </c>
      <c r="E26" s="129" t="s">
        <v>210</v>
      </c>
      <c r="F26" s="133">
        <v>1031.9337719008988</v>
      </c>
    </row>
    <row r="27" spans="4:6" ht="15.75" x14ac:dyDescent="0.3">
      <c r="D27" s="136">
        <v>904631</v>
      </c>
      <c r="E27" s="129" t="s">
        <v>211</v>
      </c>
      <c r="F27" s="133">
        <v>7.6058014710560764</v>
      </c>
    </row>
    <row r="28" spans="4:6" ht="15.75" x14ac:dyDescent="0.3">
      <c r="D28" s="136">
        <v>418637</v>
      </c>
      <c r="E28" s="129" t="s">
        <v>212</v>
      </c>
      <c r="F28" s="133">
        <v>0.97028618310391579</v>
      </c>
    </row>
    <row r="29" spans="4:6" ht="15.75" x14ac:dyDescent="0.3">
      <c r="D29" s="136">
        <v>419440</v>
      </c>
      <c r="E29" s="129" t="s">
        <v>213</v>
      </c>
      <c r="F29" s="133">
        <v>0.5224617909021082</v>
      </c>
    </row>
    <row r="30" spans="4:6" ht="15.75" x14ac:dyDescent="0.3">
      <c r="D30" s="136">
        <v>905192</v>
      </c>
      <c r="E30" s="129" t="s">
        <v>214</v>
      </c>
      <c r="F30" s="133">
        <v>1.7094685382139425</v>
      </c>
    </row>
    <row r="31" spans="4:6" ht="15.75" x14ac:dyDescent="0.3">
      <c r="D31" s="136">
        <v>903791</v>
      </c>
      <c r="E31" s="129" t="s">
        <v>215</v>
      </c>
      <c r="F31" s="133">
        <v>22.603580497172729</v>
      </c>
    </row>
    <row r="32" spans="4:6" ht="15.75" x14ac:dyDescent="0.3">
      <c r="D32" s="136">
        <v>903793</v>
      </c>
      <c r="E32" s="129" t="s">
        <v>216</v>
      </c>
      <c r="F32" s="133">
        <v>14.755466793040423</v>
      </c>
    </row>
    <row r="33" spans="4:6" ht="15.75" x14ac:dyDescent="0.3">
      <c r="D33" s="136">
        <v>903795</v>
      </c>
      <c r="E33" s="129" t="s">
        <v>217</v>
      </c>
      <c r="F33" s="133">
        <v>24.465582852365287</v>
      </c>
    </row>
    <row r="34" spans="4:6" ht="15.75" x14ac:dyDescent="0.3">
      <c r="D34" s="136">
        <v>903797</v>
      </c>
      <c r="E34" s="129" t="s">
        <v>218</v>
      </c>
      <c r="F34" s="133">
        <v>38.107262798581495</v>
      </c>
    </row>
    <row r="35" spans="4:6" ht="15.75" x14ac:dyDescent="0.3">
      <c r="D35" s="136">
        <v>904496</v>
      </c>
      <c r="E35" s="129" t="s">
        <v>219</v>
      </c>
      <c r="F35" s="133">
        <v>27.361385267665607</v>
      </c>
    </row>
    <row r="36" spans="4:6" ht="15.75" x14ac:dyDescent="0.3">
      <c r="D36" s="136">
        <v>905282</v>
      </c>
      <c r="E36" s="129" t="s">
        <v>220</v>
      </c>
      <c r="F36" s="133">
        <v>0.16162499999999996</v>
      </c>
    </row>
    <row r="37" spans="4:6" ht="15.75" x14ac:dyDescent="0.3">
      <c r="D37" s="136">
        <v>905283</v>
      </c>
      <c r="E37" s="129" t="s">
        <v>221</v>
      </c>
      <c r="F37" s="133">
        <v>3.5637499999999998</v>
      </c>
    </row>
    <row r="38" spans="4:6" ht="15.75" x14ac:dyDescent="0.3">
      <c r="D38" s="136">
        <v>903318</v>
      </c>
      <c r="E38" s="129" t="s">
        <v>222</v>
      </c>
      <c r="F38" s="133">
        <v>472.85524514153593</v>
      </c>
    </row>
    <row r="39" spans="4:6" ht="15.75" x14ac:dyDescent="0.3">
      <c r="D39" s="136">
        <v>900525</v>
      </c>
      <c r="E39" s="129" t="s">
        <v>223</v>
      </c>
      <c r="F39" s="133">
        <v>335.37163276332245</v>
      </c>
    </row>
    <row r="40" spans="4:6" ht="15.75" x14ac:dyDescent="0.3">
      <c r="D40" s="136">
        <v>902321</v>
      </c>
      <c r="E40" s="129" t="s">
        <v>224</v>
      </c>
      <c r="F40" s="133">
        <v>791.9711487586884</v>
      </c>
    </row>
    <row r="41" spans="4:6" ht="15.75" x14ac:dyDescent="0.3">
      <c r="D41" s="136">
        <v>419454</v>
      </c>
      <c r="E41" s="129" t="s">
        <v>225</v>
      </c>
      <c r="F41" s="133">
        <v>0.61371640176000009</v>
      </c>
    </row>
    <row r="42" spans="4:6" ht="15.75" x14ac:dyDescent="0.3">
      <c r="D42" s="136">
        <v>419465</v>
      </c>
      <c r="E42" s="129" t="s">
        <v>226</v>
      </c>
      <c r="F42" s="133">
        <v>2.1480074061600005</v>
      </c>
    </row>
    <row r="43" spans="4:6" ht="15.75" x14ac:dyDescent="0.3">
      <c r="D43" s="136">
        <v>419444</v>
      </c>
      <c r="E43" s="129" t="s">
        <v>227</v>
      </c>
      <c r="F43" s="133">
        <v>0.3068582008800001</v>
      </c>
    </row>
    <row r="44" spans="4:6" ht="15.75" x14ac:dyDescent="0.3">
      <c r="D44" s="136">
        <v>901781</v>
      </c>
      <c r="E44" s="129" t="s">
        <v>228</v>
      </c>
      <c r="F44" s="133">
        <v>44.325776915420867</v>
      </c>
    </row>
    <row r="45" spans="4:6" ht="15.75" x14ac:dyDescent="0.3">
      <c r="D45" s="136">
        <v>903750</v>
      </c>
      <c r="E45" s="129" t="s">
        <v>229</v>
      </c>
      <c r="F45" s="133">
        <v>719.1538244488064</v>
      </c>
    </row>
    <row r="46" spans="4:6" ht="15.75" x14ac:dyDescent="0.3">
      <c r="D46" s="136">
        <v>904194</v>
      </c>
      <c r="E46" s="129" t="s">
        <v>230</v>
      </c>
      <c r="F46" s="133">
        <v>113.71404514006571</v>
      </c>
    </row>
    <row r="47" spans="4:6" ht="15.75" x14ac:dyDescent="0.3">
      <c r="D47" s="136">
        <v>904771</v>
      </c>
      <c r="E47" s="129" t="s">
        <v>231</v>
      </c>
      <c r="F47" s="133">
        <v>1.8908876264095478</v>
      </c>
    </row>
    <row r="48" spans="4:6" ht="15.75" x14ac:dyDescent="0.3">
      <c r="D48" s="136">
        <v>904772</v>
      </c>
      <c r="E48" s="129" t="s">
        <v>232</v>
      </c>
      <c r="F48" s="133">
        <v>32.202739533816178</v>
      </c>
    </row>
    <row r="49" spans="4:6" ht="15.75" x14ac:dyDescent="0.3">
      <c r="D49" s="136">
        <v>903483</v>
      </c>
      <c r="E49" s="129" t="s">
        <v>233</v>
      </c>
      <c r="F49" s="133">
        <v>282.36335043220521</v>
      </c>
    </row>
    <row r="50" spans="4:6" ht="15.75" x14ac:dyDescent="0.3">
      <c r="D50" s="136">
        <v>903480</v>
      </c>
      <c r="E50" s="129" t="s">
        <v>234</v>
      </c>
      <c r="F50" s="133">
        <v>156.38562661667979</v>
      </c>
    </row>
    <row r="51" spans="4:6" ht="15.75" x14ac:dyDescent="0.3">
      <c r="D51" s="136">
        <v>903940</v>
      </c>
      <c r="E51" s="129" t="s">
        <v>235</v>
      </c>
      <c r="F51" s="133">
        <v>0.13313112196845892</v>
      </c>
    </row>
    <row r="52" spans="4:6" ht="15.75" x14ac:dyDescent="0.3">
      <c r="D52" s="136">
        <v>904721</v>
      </c>
      <c r="E52" s="129" t="s">
        <v>236</v>
      </c>
      <c r="F52" s="133">
        <v>1756.2216050081772</v>
      </c>
    </row>
    <row r="53" spans="4:6" ht="15.75" x14ac:dyDescent="0.3">
      <c r="D53" s="136">
        <v>905291</v>
      </c>
      <c r="E53" s="129" t="s">
        <v>237</v>
      </c>
      <c r="F53" s="133">
        <v>501.62260948177118</v>
      </c>
    </row>
    <row r="54" spans="4:6" ht="15.75" x14ac:dyDescent="0.3">
      <c r="D54" s="136">
        <v>903478</v>
      </c>
      <c r="E54" s="129" t="s">
        <v>238</v>
      </c>
      <c r="F54" s="133">
        <v>1279.3006982621212</v>
      </c>
    </row>
    <row r="55" spans="4:6" ht="15.75" x14ac:dyDescent="0.3">
      <c r="D55" s="136">
        <v>904932</v>
      </c>
      <c r="E55" s="129" t="s">
        <v>239</v>
      </c>
      <c r="F55" s="133">
        <v>2524.7199789310725</v>
      </c>
    </row>
    <row r="56" spans="4:6" ht="15.75" x14ac:dyDescent="0.3">
      <c r="D56" s="136">
        <v>904701</v>
      </c>
      <c r="E56" s="129" t="s">
        <v>240</v>
      </c>
      <c r="F56" s="133">
        <v>16.606546997841363</v>
      </c>
    </row>
    <row r="57" spans="4:6" ht="15.75" x14ac:dyDescent="0.3">
      <c r="D57" s="136">
        <v>904895</v>
      </c>
      <c r="E57" s="129" t="s">
        <v>241</v>
      </c>
      <c r="F57" s="133">
        <v>105.66936558057154</v>
      </c>
    </row>
    <row r="58" spans="4:6" ht="15.75" x14ac:dyDescent="0.3">
      <c r="D58" s="136">
        <v>903996</v>
      </c>
      <c r="E58" s="129" t="s">
        <v>242</v>
      </c>
      <c r="F58" s="133">
        <v>143.24875260192064</v>
      </c>
    </row>
    <row r="59" spans="4:6" ht="15.75" x14ac:dyDescent="0.3">
      <c r="D59" s="136">
        <v>904961</v>
      </c>
      <c r="E59" s="129" t="s">
        <v>243</v>
      </c>
      <c r="F59" s="133">
        <v>151.60164053402013</v>
      </c>
    </row>
    <row r="60" spans="4:6" ht="15.75" x14ac:dyDescent="0.3">
      <c r="D60" s="136">
        <v>905271</v>
      </c>
      <c r="E60" s="129" t="s">
        <v>244</v>
      </c>
      <c r="F60" s="133">
        <v>8.9572827687409617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6A45-428F-4089-ACDF-EADF8AE976B9}">
  <dimension ref="B1:O67"/>
  <sheetViews>
    <sheetView workbookViewId="0">
      <selection activeCell="E3" sqref="E3:E48"/>
    </sheetView>
  </sheetViews>
  <sheetFormatPr defaultRowHeight="15" x14ac:dyDescent="0.25"/>
  <cols>
    <col min="4" max="4" width="36.28515625" bestFit="1" customWidth="1"/>
    <col min="8" max="8" width="15.85546875" bestFit="1" customWidth="1"/>
    <col min="9" max="9" width="14.85546875" bestFit="1" customWidth="1"/>
  </cols>
  <sheetData>
    <row r="1" spans="2:15" x14ac:dyDescent="0.25">
      <c r="E1">
        <f>SUBTOTAL(9,E3:E67)</f>
        <v>16238.402555050548</v>
      </c>
      <c r="O1">
        <f>SUBTOTAL(9,O3:O67)</f>
        <v>16461.388091905286</v>
      </c>
    </row>
    <row r="2" spans="2:15" ht="24" x14ac:dyDescent="0.25">
      <c r="B2" s="15" t="s">
        <v>84</v>
      </c>
      <c r="C2" s="17" t="s">
        <v>47</v>
      </c>
      <c r="D2" s="17" t="s">
        <v>46</v>
      </c>
      <c r="G2" s="126" t="s">
        <v>124</v>
      </c>
      <c r="H2" s="127" t="s">
        <v>125</v>
      </c>
      <c r="I2" s="127" t="s">
        <v>126</v>
      </c>
      <c r="J2" s="127" t="s">
        <v>127</v>
      </c>
      <c r="K2" s="130" t="s">
        <v>174</v>
      </c>
      <c r="L2" s="131" t="s">
        <v>175</v>
      </c>
      <c r="M2" s="131" t="s">
        <v>176</v>
      </c>
      <c r="N2" s="131" t="s">
        <v>177</v>
      </c>
      <c r="O2" s="131" t="s">
        <v>178</v>
      </c>
    </row>
    <row r="3" spans="2:15" ht="15.75" x14ac:dyDescent="0.3">
      <c r="B3" s="20">
        <v>904113</v>
      </c>
      <c r="C3" s="20">
        <v>1052772</v>
      </c>
      <c r="D3" s="11" t="s">
        <v>30</v>
      </c>
      <c r="E3">
        <f>VLOOKUP(B3,G:O,9,0)</f>
        <v>1680.1684823323098</v>
      </c>
      <c r="G3" s="128">
        <v>904602</v>
      </c>
      <c r="H3" s="129" t="s">
        <v>81</v>
      </c>
      <c r="I3" s="129" t="s">
        <v>128</v>
      </c>
      <c r="J3" s="129" t="s">
        <v>129</v>
      </c>
      <c r="K3" s="132">
        <v>0.24274102273239428</v>
      </c>
      <c r="L3" s="133">
        <v>9.1145995411091221</v>
      </c>
      <c r="M3" s="133"/>
      <c r="N3" s="132"/>
      <c r="O3" s="133">
        <v>9.1145995411091221</v>
      </c>
    </row>
    <row r="4" spans="2:15" ht="15.75" x14ac:dyDescent="0.3">
      <c r="B4" s="20">
        <v>904952</v>
      </c>
      <c r="C4" s="20">
        <v>1193288</v>
      </c>
      <c r="D4" s="11" t="s">
        <v>53</v>
      </c>
      <c r="E4">
        <f t="shared" ref="E4:E48" si="0">VLOOKUP(B4,G:O,9,0)</f>
        <v>1643.8593472770394</v>
      </c>
      <c r="G4" s="128">
        <v>904612</v>
      </c>
      <c r="H4" s="129" t="s">
        <v>81</v>
      </c>
      <c r="I4" s="129" t="s">
        <v>130</v>
      </c>
      <c r="J4" s="129" t="s">
        <v>129</v>
      </c>
      <c r="K4" s="132">
        <v>0.10281202205336815</v>
      </c>
      <c r="L4" s="133">
        <v>12.974834971369994</v>
      </c>
      <c r="M4" s="133"/>
      <c r="N4" s="132"/>
      <c r="O4" s="133">
        <v>12.974834971369994</v>
      </c>
    </row>
    <row r="5" spans="2:15" ht="15.75" x14ac:dyDescent="0.3">
      <c r="B5" s="20">
        <v>905052</v>
      </c>
      <c r="C5" s="20">
        <v>1207152</v>
      </c>
      <c r="D5" s="11" t="s">
        <v>122</v>
      </c>
      <c r="E5">
        <f t="shared" si="0"/>
        <v>17.072027624279411</v>
      </c>
      <c r="G5" s="128">
        <v>903741</v>
      </c>
      <c r="H5" s="129" t="s">
        <v>79</v>
      </c>
      <c r="I5" s="129" t="s">
        <v>128</v>
      </c>
      <c r="J5" s="129" t="s">
        <v>131</v>
      </c>
      <c r="K5" s="132">
        <v>9.6374624108477462</v>
      </c>
      <c r="L5" s="133">
        <v>10.680311222219565</v>
      </c>
      <c r="M5" s="133"/>
      <c r="N5" s="132"/>
      <c r="O5" s="133">
        <v>10.680311222219565</v>
      </c>
    </row>
    <row r="6" spans="2:15" ht="15.75" x14ac:dyDescent="0.3">
      <c r="B6" s="20">
        <v>904631</v>
      </c>
      <c r="C6" s="20">
        <v>1160860</v>
      </c>
      <c r="D6" s="11" t="s">
        <v>29</v>
      </c>
      <c r="E6">
        <f t="shared" si="0"/>
        <v>14.187429338547357</v>
      </c>
      <c r="G6" s="128">
        <v>902544</v>
      </c>
      <c r="H6" s="129" t="s">
        <v>79</v>
      </c>
      <c r="I6" s="129" t="s">
        <v>128</v>
      </c>
      <c r="J6" s="129" t="s">
        <v>132</v>
      </c>
      <c r="K6" s="132">
        <v>1.2873735830500976</v>
      </c>
      <c r="L6" s="133">
        <v>15.590424819537748</v>
      </c>
      <c r="M6" s="133"/>
      <c r="N6" s="132"/>
      <c r="O6" s="133">
        <v>15.590424819537748</v>
      </c>
    </row>
    <row r="7" spans="2:15" ht="15.75" x14ac:dyDescent="0.3">
      <c r="B7" s="20">
        <v>904194</v>
      </c>
      <c r="C7" s="20">
        <v>1153719</v>
      </c>
      <c r="D7" s="11" t="s">
        <v>12</v>
      </c>
      <c r="E7">
        <f t="shared" si="0"/>
        <v>135.19317305427191</v>
      </c>
      <c r="G7" s="128">
        <v>902581</v>
      </c>
      <c r="H7" s="129" t="s">
        <v>79</v>
      </c>
      <c r="I7" s="129" t="s">
        <v>128</v>
      </c>
      <c r="J7" s="129" t="s">
        <v>133</v>
      </c>
      <c r="K7" s="132">
        <v>1.0211928160732242E-2</v>
      </c>
      <c r="L7" s="133">
        <v>5.7384233755823741</v>
      </c>
      <c r="M7" s="133"/>
      <c r="N7" s="132"/>
      <c r="O7" s="133">
        <v>5.7384233755823741</v>
      </c>
    </row>
    <row r="8" spans="2:15" ht="15.75" x14ac:dyDescent="0.3">
      <c r="B8" s="20">
        <v>903750</v>
      </c>
      <c r="C8" s="20">
        <v>1055249</v>
      </c>
      <c r="D8" s="11" t="s">
        <v>11</v>
      </c>
      <c r="E8">
        <f t="shared" si="0"/>
        <v>1159.7493749422274</v>
      </c>
      <c r="G8" s="128">
        <v>903681</v>
      </c>
      <c r="H8" s="129" t="s">
        <v>79</v>
      </c>
      <c r="I8" s="129" t="s">
        <v>130</v>
      </c>
      <c r="J8" s="129" t="s">
        <v>131</v>
      </c>
      <c r="K8" s="132">
        <v>14.806505606238424</v>
      </c>
      <c r="L8" s="133">
        <v>20.650813880122467</v>
      </c>
      <c r="M8" s="133"/>
      <c r="N8" s="132"/>
      <c r="O8" s="133">
        <v>20.650813880122467</v>
      </c>
    </row>
    <row r="9" spans="2:15" ht="15.75" x14ac:dyDescent="0.3">
      <c r="B9" s="20">
        <v>901781</v>
      </c>
      <c r="C9" s="20">
        <v>1016972</v>
      </c>
      <c r="D9" s="11" t="s">
        <v>10</v>
      </c>
      <c r="E9">
        <f t="shared" si="0"/>
        <v>66.89434400455842</v>
      </c>
      <c r="G9" s="128">
        <v>903683</v>
      </c>
      <c r="H9" s="129" t="s">
        <v>79</v>
      </c>
      <c r="I9" s="129" t="s">
        <v>130</v>
      </c>
      <c r="J9" s="129" t="s">
        <v>132</v>
      </c>
      <c r="K9" s="132">
        <v>1.0634256759793246</v>
      </c>
      <c r="L9" s="133">
        <v>26.433741745919889</v>
      </c>
      <c r="M9" s="133"/>
      <c r="N9" s="132"/>
      <c r="O9" s="133">
        <v>26.433741745919889</v>
      </c>
    </row>
    <row r="10" spans="2:15" ht="15.75" x14ac:dyDescent="0.3">
      <c r="B10" s="20">
        <v>904772</v>
      </c>
      <c r="C10" s="20">
        <v>1170146</v>
      </c>
      <c r="D10" s="11" t="s">
        <v>9</v>
      </c>
      <c r="E10">
        <f t="shared" si="0"/>
        <v>45.044363770722455</v>
      </c>
      <c r="G10" s="128">
        <v>904773</v>
      </c>
      <c r="H10" s="129" t="s">
        <v>79</v>
      </c>
      <c r="I10" s="129" t="s">
        <v>130</v>
      </c>
      <c r="J10" s="129" t="s">
        <v>134</v>
      </c>
      <c r="K10" s="132">
        <v>-0.51229414220967784</v>
      </c>
      <c r="L10" s="133">
        <v>0.51229414220967784</v>
      </c>
      <c r="M10" s="133"/>
      <c r="N10" s="132"/>
      <c r="O10" s="133">
        <v>0.51229414220967784</v>
      </c>
    </row>
    <row r="11" spans="2:15" ht="15.75" x14ac:dyDescent="0.3">
      <c r="B11" s="20">
        <v>904771</v>
      </c>
      <c r="C11" s="20">
        <v>1170180</v>
      </c>
      <c r="D11" s="11" t="s">
        <v>8</v>
      </c>
      <c r="E11">
        <f t="shared" si="0"/>
        <v>15.239323172326237</v>
      </c>
      <c r="G11" s="128">
        <v>903901</v>
      </c>
      <c r="H11" s="129" t="s">
        <v>77</v>
      </c>
      <c r="I11" s="129" t="s">
        <v>128</v>
      </c>
      <c r="J11" s="129" t="s">
        <v>131</v>
      </c>
      <c r="K11" s="132">
        <v>0</v>
      </c>
      <c r="L11" s="133">
        <v>5.78170599357885</v>
      </c>
      <c r="M11" s="133"/>
      <c r="N11" s="132"/>
      <c r="O11" s="133">
        <v>5.78170599357885</v>
      </c>
    </row>
    <row r="12" spans="2:15" ht="15.75" x14ac:dyDescent="0.3">
      <c r="B12" s="20">
        <v>904895</v>
      </c>
      <c r="C12" s="20">
        <v>1208101</v>
      </c>
      <c r="D12" s="11" t="s">
        <v>64</v>
      </c>
      <c r="E12">
        <f t="shared" si="0"/>
        <v>206.99601594917411</v>
      </c>
      <c r="G12" s="128">
        <v>904782</v>
      </c>
      <c r="H12" s="129" t="s">
        <v>77</v>
      </c>
      <c r="I12" s="129" t="s">
        <v>130</v>
      </c>
      <c r="J12" s="129" t="s">
        <v>131</v>
      </c>
      <c r="K12" s="132">
        <v>2.7041721876625013E-2</v>
      </c>
      <c r="L12" s="133">
        <v>5.5787522493877635</v>
      </c>
      <c r="M12" s="133"/>
      <c r="N12" s="132"/>
      <c r="O12" s="133">
        <v>5.5787522493877635</v>
      </c>
    </row>
    <row r="13" spans="2:15" ht="15.75" x14ac:dyDescent="0.3">
      <c r="B13" s="20">
        <v>904961</v>
      </c>
      <c r="C13" s="20">
        <v>1193325</v>
      </c>
      <c r="D13" s="11" t="s">
        <v>54</v>
      </c>
      <c r="E13">
        <f t="shared" si="0"/>
        <v>300.26763638802458</v>
      </c>
      <c r="G13" s="128">
        <v>900118</v>
      </c>
      <c r="H13" s="129" t="s">
        <v>135</v>
      </c>
      <c r="I13" s="129" t="s">
        <v>136</v>
      </c>
      <c r="J13" s="129" t="s">
        <v>137</v>
      </c>
      <c r="K13" s="132">
        <v>0.17216579494909823</v>
      </c>
      <c r="L13" s="133">
        <v>8.1113224515563207</v>
      </c>
      <c r="M13" s="133"/>
      <c r="N13" s="132"/>
      <c r="O13" s="133">
        <v>8.1113224515563207</v>
      </c>
    </row>
    <row r="14" spans="2:15" ht="15.75" x14ac:dyDescent="0.3">
      <c r="B14" s="20">
        <v>903996</v>
      </c>
      <c r="C14" s="20">
        <v>1140139</v>
      </c>
      <c r="D14" s="11" t="s">
        <v>7</v>
      </c>
      <c r="E14">
        <f t="shared" si="0"/>
        <v>254.85503410094307</v>
      </c>
      <c r="G14" s="128">
        <v>902832</v>
      </c>
      <c r="H14" s="129" t="s">
        <v>135</v>
      </c>
      <c r="I14" s="129" t="s">
        <v>136</v>
      </c>
      <c r="J14" s="129" t="s">
        <v>131</v>
      </c>
      <c r="K14" s="132">
        <v>0</v>
      </c>
      <c r="L14" s="133">
        <v>10.182122570504427</v>
      </c>
      <c r="M14" s="133"/>
      <c r="N14" s="132"/>
      <c r="O14" s="133">
        <v>10.182122570504427</v>
      </c>
    </row>
    <row r="15" spans="2:15" ht="15.75" x14ac:dyDescent="0.3">
      <c r="B15" s="20">
        <v>904721</v>
      </c>
      <c r="C15" s="20">
        <v>1169727</v>
      </c>
      <c r="D15" s="11" t="s">
        <v>6</v>
      </c>
      <c r="E15">
        <f t="shared" si="0"/>
        <v>2715.4189497962143</v>
      </c>
      <c r="G15" s="128">
        <v>904742</v>
      </c>
      <c r="H15" s="129" t="s">
        <v>135</v>
      </c>
      <c r="I15" s="129" t="s">
        <v>136</v>
      </c>
      <c r="J15" s="129" t="s">
        <v>138</v>
      </c>
      <c r="K15" s="132">
        <v>6.1797587251521069E-2</v>
      </c>
      <c r="L15" s="133">
        <v>3.8564044385220075</v>
      </c>
      <c r="M15" s="133"/>
      <c r="N15" s="132"/>
      <c r="O15" s="133">
        <v>3.8564044385220075</v>
      </c>
    </row>
    <row r="16" spans="2:15" ht="15.75" x14ac:dyDescent="0.3">
      <c r="B16" s="20">
        <v>904932</v>
      </c>
      <c r="C16" s="20">
        <v>1193319</v>
      </c>
      <c r="D16" s="11" t="s">
        <v>55</v>
      </c>
      <c r="E16">
        <f t="shared" si="0"/>
        <v>2993.4110038429153</v>
      </c>
      <c r="G16" s="128">
        <v>900109</v>
      </c>
      <c r="H16" s="129" t="s">
        <v>135</v>
      </c>
      <c r="I16" s="129" t="s">
        <v>136</v>
      </c>
      <c r="J16" s="129" t="s">
        <v>139</v>
      </c>
      <c r="K16" s="132">
        <v>8.5511586541223039E-2</v>
      </c>
      <c r="L16" s="133">
        <v>6.3644009876088816</v>
      </c>
      <c r="M16" s="133"/>
      <c r="N16" s="132"/>
      <c r="O16" s="133">
        <v>6.3644009876088816</v>
      </c>
    </row>
    <row r="17" spans="2:15" ht="15.75" x14ac:dyDescent="0.3">
      <c r="B17" s="20">
        <v>905291</v>
      </c>
      <c r="C17" s="20">
        <v>1016561</v>
      </c>
      <c r="D17" s="11" t="s">
        <v>5</v>
      </c>
      <c r="E17">
        <f t="shared" si="0"/>
        <v>658.05929720029212</v>
      </c>
      <c r="G17" s="128">
        <v>901162</v>
      </c>
      <c r="H17" s="129" t="s">
        <v>135</v>
      </c>
      <c r="I17" s="129" t="s">
        <v>136</v>
      </c>
      <c r="J17" s="129" t="s">
        <v>129</v>
      </c>
      <c r="K17" s="132">
        <v>0</v>
      </c>
      <c r="L17" s="133">
        <v>8.8236254179067544</v>
      </c>
      <c r="M17" s="133"/>
      <c r="N17" s="132"/>
      <c r="O17" s="133">
        <v>8.8236254179067544</v>
      </c>
    </row>
    <row r="18" spans="2:15" ht="15.75" x14ac:dyDescent="0.3">
      <c r="B18" s="20">
        <v>903478</v>
      </c>
      <c r="C18" s="20">
        <v>1045807</v>
      </c>
      <c r="D18" s="11" t="s">
        <v>4</v>
      </c>
      <c r="E18">
        <f t="shared" si="0"/>
        <v>1521.7552808701912</v>
      </c>
      <c r="G18" s="128">
        <v>905311</v>
      </c>
      <c r="H18" s="129" t="s">
        <v>135</v>
      </c>
      <c r="I18" s="129" t="s">
        <v>136</v>
      </c>
      <c r="J18" s="129" t="s">
        <v>140</v>
      </c>
      <c r="K18" s="132">
        <v>0</v>
      </c>
      <c r="L18" s="133">
        <v>0</v>
      </c>
      <c r="M18" s="133"/>
      <c r="N18" s="132"/>
      <c r="O18" s="133">
        <v>0</v>
      </c>
    </row>
    <row r="19" spans="2:15" ht="15.75" x14ac:dyDescent="0.3">
      <c r="B19" s="20">
        <v>903480</v>
      </c>
      <c r="C19" s="20">
        <v>99187</v>
      </c>
      <c r="D19" s="11" t="s">
        <v>3</v>
      </c>
      <c r="E19">
        <f t="shared" si="0"/>
        <v>181.79502048561346</v>
      </c>
      <c r="G19" s="128">
        <v>904831</v>
      </c>
      <c r="H19" s="129" t="s">
        <v>135</v>
      </c>
      <c r="I19" s="129" t="s">
        <v>130</v>
      </c>
      <c r="J19" s="129" t="s">
        <v>137</v>
      </c>
      <c r="K19" s="132">
        <v>0</v>
      </c>
      <c r="L19" s="133">
        <v>0</v>
      </c>
      <c r="M19" s="133"/>
      <c r="N19" s="132"/>
      <c r="O19" s="133">
        <v>0</v>
      </c>
    </row>
    <row r="20" spans="2:15" ht="15.75" x14ac:dyDescent="0.3">
      <c r="B20" s="20">
        <v>904701</v>
      </c>
      <c r="C20" s="20">
        <v>1022426</v>
      </c>
      <c r="D20" s="11" t="s">
        <v>60</v>
      </c>
      <c r="E20">
        <f t="shared" si="0"/>
        <v>46.290786460231608</v>
      </c>
      <c r="G20" s="128">
        <v>904451</v>
      </c>
      <c r="H20" s="129" t="s">
        <v>135</v>
      </c>
      <c r="I20" s="129" t="s">
        <v>130</v>
      </c>
      <c r="J20" s="129" t="s">
        <v>131</v>
      </c>
      <c r="K20" s="132">
        <v>0.1800784586525026</v>
      </c>
      <c r="L20" s="133">
        <v>32.863993084345921</v>
      </c>
      <c r="M20" s="133"/>
      <c r="N20" s="132"/>
      <c r="O20" s="133">
        <v>32.863993084345921</v>
      </c>
    </row>
    <row r="21" spans="2:15" ht="15.75" x14ac:dyDescent="0.3">
      <c r="B21" s="20">
        <v>903483</v>
      </c>
      <c r="C21" s="20">
        <v>75013</v>
      </c>
      <c r="D21" s="11" t="s">
        <v>0</v>
      </c>
      <c r="E21">
        <f t="shared" si="0"/>
        <v>346.15712351144663</v>
      </c>
      <c r="G21" s="128">
        <v>904743</v>
      </c>
      <c r="H21" s="129" t="s">
        <v>135</v>
      </c>
      <c r="I21" s="129" t="s">
        <v>130</v>
      </c>
      <c r="J21" s="129" t="s">
        <v>138</v>
      </c>
      <c r="K21" s="132">
        <v>0.42512108181302466</v>
      </c>
      <c r="L21" s="133">
        <v>10.486705181007046</v>
      </c>
      <c r="M21" s="133"/>
      <c r="N21" s="132"/>
      <c r="O21" s="133">
        <v>10.486705181007046</v>
      </c>
    </row>
    <row r="22" spans="2:15" ht="15.75" x14ac:dyDescent="0.3">
      <c r="B22" s="91">
        <v>902832</v>
      </c>
      <c r="C22" s="91">
        <v>1046669</v>
      </c>
      <c r="D22" s="92" t="s">
        <v>28</v>
      </c>
      <c r="E22">
        <f t="shared" si="0"/>
        <v>10.182122570504427</v>
      </c>
      <c r="G22" s="128">
        <v>904441</v>
      </c>
      <c r="H22" s="129" t="s">
        <v>135</v>
      </c>
      <c r="I22" s="129" t="s">
        <v>130</v>
      </c>
      <c r="J22" s="129" t="s">
        <v>139</v>
      </c>
      <c r="K22" s="132">
        <v>0.26010640839796473</v>
      </c>
      <c r="L22" s="133">
        <v>11.784447467833628</v>
      </c>
      <c r="M22" s="133"/>
      <c r="N22" s="132"/>
      <c r="O22" s="133">
        <v>11.784447467833628</v>
      </c>
    </row>
    <row r="23" spans="2:15" ht="15.75" x14ac:dyDescent="0.3">
      <c r="B23" s="93">
        <v>900118</v>
      </c>
      <c r="C23" s="93">
        <v>1017028</v>
      </c>
      <c r="D23" s="92" t="s">
        <v>26</v>
      </c>
      <c r="E23">
        <f t="shared" si="0"/>
        <v>8.1113224515563207</v>
      </c>
      <c r="G23" s="128">
        <v>904193</v>
      </c>
      <c r="H23" s="129" t="s">
        <v>135</v>
      </c>
      <c r="I23" s="129" t="s">
        <v>130</v>
      </c>
      <c r="J23" s="129" t="s">
        <v>129</v>
      </c>
      <c r="K23" s="132">
        <v>0.62108600814206483</v>
      </c>
      <c r="L23" s="133">
        <v>29.54607457208547</v>
      </c>
      <c r="M23" s="133"/>
      <c r="N23" s="132"/>
      <c r="O23" s="133">
        <v>29.54607457208547</v>
      </c>
    </row>
    <row r="24" spans="2:15" ht="15.75" x14ac:dyDescent="0.3">
      <c r="B24" s="107">
        <v>904451</v>
      </c>
      <c r="C24" s="107">
        <v>1147973</v>
      </c>
      <c r="D24" s="92" t="s">
        <v>23</v>
      </c>
      <c r="E24">
        <f t="shared" si="0"/>
        <v>32.863993084345921</v>
      </c>
      <c r="G24" s="128">
        <v>634958</v>
      </c>
      <c r="H24" s="129" t="s">
        <v>141</v>
      </c>
      <c r="I24" s="129" t="s">
        <v>128</v>
      </c>
      <c r="J24" s="129" t="s">
        <v>142</v>
      </c>
      <c r="K24" s="132">
        <v>0</v>
      </c>
      <c r="L24" s="133">
        <v>3.8121122816960229</v>
      </c>
      <c r="M24" s="133"/>
      <c r="N24" s="132"/>
      <c r="O24" s="133">
        <v>3.8121122816960229</v>
      </c>
    </row>
    <row r="25" spans="2:15" ht="15.75" x14ac:dyDescent="0.3">
      <c r="B25" s="91">
        <v>904742</v>
      </c>
      <c r="C25" s="91">
        <v>1169732</v>
      </c>
      <c r="D25" s="92" t="s">
        <v>56</v>
      </c>
      <c r="E25">
        <f t="shared" si="0"/>
        <v>3.8564044385220075</v>
      </c>
      <c r="G25" s="128">
        <v>418502</v>
      </c>
      <c r="H25" s="129" t="s">
        <v>141</v>
      </c>
      <c r="I25" s="129" t="s">
        <v>143</v>
      </c>
      <c r="J25" s="129" t="s">
        <v>142</v>
      </c>
      <c r="K25" s="132">
        <v>0</v>
      </c>
      <c r="L25" s="133">
        <v>5.7096177895741791</v>
      </c>
      <c r="M25" s="133"/>
      <c r="N25" s="132"/>
      <c r="O25" s="133">
        <v>5.7096177895741791</v>
      </c>
    </row>
    <row r="26" spans="2:15" ht="15.75" x14ac:dyDescent="0.3">
      <c r="B26" s="107">
        <v>904743</v>
      </c>
      <c r="C26" s="107">
        <v>1170232</v>
      </c>
      <c r="D26" s="92" t="s">
        <v>22</v>
      </c>
      <c r="E26">
        <f t="shared" si="0"/>
        <v>10.486705181007046</v>
      </c>
      <c r="G26" s="128">
        <v>905052</v>
      </c>
      <c r="H26" s="129" t="s">
        <v>83</v>
      </c>
      <c r="I26" s="129" t="s">
        <v>128</v>
      </c>
      <c r="J26" s="129" t="s">
        <v>144</v>
      </c>
      <c r="K26" s="132">
        <v>9.1067974033504306E-2</v>
      </c>
      <c r="L26" s="133">
        <v>17.072027624279411</v>
      </c>
      <c r="M26" s="133"/>
      <c r="N26" s="132"/>
      <c r="O26" s="133">
        <v>17.072027624279411</v>
      </c>
    </row>
    <row r="27" spans="2:15" ht="15.75" x14ac:dyDescent="0.3">
      <c r="B27" s="91">
        <v>900109</v>
      </c>
      <c r="C27" s="91">
        <v>1017027</v>
      </c>
      <c r="D27" s="92" t="s">
        <v>27</v>
      </c>
      <c r="E27">
        <f t="shared" si="0"/>
        <v>6.3644009876088816</v>
      </c>
      <c r="G27" s="128">
        <v>904113</v>
      </c>
      <c r="H27" s="129" t="s">
        <v>83</v>
      </c>
      <c r="I27" s="129" t="s">
        <v>143</v>
      </c>
      <c r="J27" s="129" t="s">
        <v>144</v>
      </c>
      <c r="K27" s="132">
        <v>58.533050634409392</v>
      </c>
      <c r="L27" s="133">
        <v>1680.1684823323098</v>
      </c>
      <c r="M27" s="133"/>
      <c r="N27" s="132"/>
      <c r="O27" s="133">
        <v>1680.1684823323098</v>
      </c>
    </row>
    <row r="28" spans="2:15" ht="15.75" x14ac:dyDescent="0.3">
      <c r="B28" s="93">
        <v>904441</v>
      </c>
      <c r="C28" s="93">
        <v>1147975</v>
      </c>
      <c r="D28" s="92" t="s">
        <v>24</v>
      </c>
      <c r="E28">
        <f t="shared" si="0"/>
        <v>11.784447467833628</v>
      </c>
      <c r="G28" s="128">
        <v>904952</v>
      </c>
      <c r="H28" s="129" t="s">
        <v>83</v>
      </c>
      <c r="I28" s="129" t="s">
        <v>145</v>
      </c>
      <c r="J28" s="129" t="s">
        <v>144</v>
      </c>
      <c r="K28" s="132">
        <v>35.658181761555397</v>
      </c>
      <c r="L28" s="133">
        <v>1643.8593472770394</v>
      </c>
      <c r="M28" s="133"/>
      <c r="N28" s="132"/>
      <c r="O28" s="133">
        <v>1643.8593472770394</v>
      </c>
    </row>
    <row r="29" spans="2:15" ht="15.75" x14ac:dyDescent="0.3">
      <c r="B29" s="93">
        <v>901162</v>
      </c>
      <c r="C29" s="93">
        <v>1046689</v>
      </c>
      <c r="D29" s="92" t="s">
        <v>25</v>
      </c>
      <c r="E29">
        <f t="shared" si="0"/>
        <v>8.8236254179067544</v>
      </c>
      <c r="G29" s="128">
        <v>904632</v>
      </c>
      <c r="H29" s="129" t="s">
        <v>146</v>
      </c>
      <c r="I29" s="129" t="s">
        <v>143</v>
      </c>
      <c r="J29" s="129" t="s">
        <v>144</v>
      </c>
      <c r="K29" s="132">
        <v>0</v>
      </c>
      <c r="L29" s="133">
        <v>0</v>
      </c>
      <c r="M29" s="133"/>
      <c r="N29" s="132"/>
      <c r="O29" s="133">
        <v>0</v>
      </c>
    </row>
    <row r="30" spans="2:15" ht="15.75" x14ac:dyDescent="0.3">
      <c r="B30" s="107">
        <v>904193</v>
      </c>
      <c r="C30" s="107">
        <v>1150647</v>
      </c>
      <c r="D30" s="92" t="s">
        <v>21</v>
      </c>
      <c r="E30">
        <f t="shared" si="0"/>
        <v>29.54607457208547</v>
      </c>
      <c r="G30" s="128">
        <v>904631</v>
      </c>
      <c r="H30" s="129" t="s">
        <v>146</v>
      </c>
      <c r="I30" s="129" t="s">
        <v>147</v>
      </c>
      <c r="J30" s="129" t="s">
        <v>144</v>
      </c>
      <c r="K30" s="132">
        <v>0.94565511810984759</v>
      </c>
      <c r="L30" s="133">
        <v>14.187429338547357</v>
      </c>
      <c r="M30" s="133"/>
      <c r="N30" s="132"/>
      <c r="O30" s="133">
        <v>14.187429338547357</v>
      </c>
    </row>
    <row r="31" spans="2:15" ht="15.75" x14ac:dyDescent="0.3">
      <c r="B31" s="107">
        <v>904612</v>
      </c>
      <c r="C31" s="107">
        <v>1155188</v>
      </c>
      <c r="D31" s="92" t="s">
        <v>20</v>
      </c>
      <c r="E31">
        <f t="shared" si="0"/>
        <v>12.974834971369994</v>
      </c>
      <c r="G31" s="128">
        <v>418637</v>
      </c>
      <c r="H31" s="129" t="s">
        <v>148</v>
      </c>
      <c r="I31" s="129" t="s">
        <v>130</v>
      </c>
      <c r="J31" s="129" t="s">
        <v>149</v>
      </c>
      <c r="K31" s="132">
        <v>0</v>
      </c>
      <c r="L31" s="133">
        <v>6.2284868584441719</v>
      </c>
      <c r="M31" s="133"/>
      <c r="N31" s="132"/>
      <c r="O31" s="133">
        <v>6.2284868584441719</v>
      </c>
    </row>
    <row r="32" spans="2:15" ht="15.75" x14ac:dyDescent="0.3">
      <c r="B32" s="107">
        <v>904602</v>
      </c>
      <c r="C32" s="107">
        <v>1160869</v>
      </c>
      <c r="D32" s="92" t="s">
        <v>19</v>
      </c>
      <c r="E32">
        <f t="shared" si="0"/>
        <v>9.1145995411091221</v>
      </c>
      <c r="G32" s="128">
        <v>419440</v>
      </c>
      <c r="H32" s="129" t="s">
        <v>148</v>
      </c>
      <c r="I32" s="129" t="s">
        <v>130</v>
      </c>
      <c r="J32" s="129" t="s">
        <v>150</v>
      </c>
      <c r="K32" s="132">
        <v>0</v>
      </c>
      <c r="L32" s="133">
        <v>3.3617462781088885</v>
      </c>
      <c r="M32" s="133"/>
      <c r="N32" s="132"/>
      <c r="O32" s="133">
        <v>3.3617462781088885</v>
      </c>
    </row>
    <row r="33" spans="2:15" ht="15.75" x14ac:dyDescent="0.3">
      <c r="B33" s="107">
        <v>903681</v>
      </c>
      <c r="C33" s="107">
        <v>1110090</v>
      </c>
      <c r="D33" s="92" t="s">
        <v>18</v>
      </c>
      <c r="E33">
        <f t="shared" si="0"/>
        <v>20.650813880122467</v>
      </c>
      <c r="G33" s="128">
        <v>903791</v>
      </c>
      <c r="H33" s="129" t="s">
        <v>93</v>
      </c>
      <c r="I33" s="129" t="s">
        <v>130</v>
      </c>
      <c r="J33" s="129" t="s">
        <v>151</v>
      </c>
      <c r="K33" s="132">
        <v>0.3681129522772757</v>
      </c>
      <c r="L33" s="133">
        <v>24.631529793241139</v>
      </c>
      <c r="M33" s="133"/>
      <c r="N33" s="132"/>
      <c r="O33" s="133">
        <v>24.631529793241139</v>
      </c>
    </row>
    <row r="34" spans="2:15" ht="15.75" x14ac:dyDescent="0.3">
      <c r="B34" s="107">
        <v>903741</v>
      </c>
      <c r="C34" s="107">
        <v>1080284</v>
      </c>
      <c r="D34" s="92" t="s">
        <v>17</v>
      </c>
      <c r="E34">
        <f t="shared" si="0"/>
        <v>10.680311222219565</v>
      </c>
      <c r="G34" s="128">
        <v>903793</v>
      </c>
      <c r="H34" s="129" t="s">
        <v>93</v>
      </c>
      <c r="I34" s="129" t="s">
        <v>130</v>
      </c>
      <c r="J34" s="129" t="s">
        <v>152</v>
      </c>
      <c r="K34" s="132">
        <v>0.33798963727718956</v>
      </c>
      <c r="L34" s="133">
        <v>12.054436255398111</v>
      </c>
      <c r="M34" s="133"/>
      <c r="N34" s="132"/>
      <c r="O34" s="133">
        <v>12.054436255398111</v>
      </c>
    </row>
    <row r="35" spans="2:15" ht="15.75" x14ac:dyDescent="0.3">
      <c r="B35" s="107">
        <v>902544</v>
      </c>
      <c r="C35" s="107">
        <v>1041649</v>
      </c>
      <c r="D35" s="92" t="s">
        <v>15</v>
      </c>
      <c r="E35">
        <f t="shared" si="0"/>
        <v>15.590424819537748</v>
      </c>
      <c r="G35" s="128">
        <v>903795</v>
      </c>
      <c r="H35" s="129" t="s">
        <v>93</v>
      </c>
      <c r="I35" s="129" t="s">
        <v>130</v>
      </c>
      <c r="J35" s="129" t="s">
        <v>153</v>
      </c>
      <c r="K35" s="132">
        <v>1.2936980154276014</v>
      </c>
      <c r="L35" s="133">
        <v>39.144384407876984</v>
      </c>
      <c r="M35" s="133"/>
      <c r="N35" s="132"/>
      <c r="O35" s="133">
        <v>39.144384407876984</v>
      </c>
    </row>
    <row r="36" spans="2:15" ht="15.75" x14ac:dyDescent="0.3">
      <c r="B36" s="107">
        <v>903683</v>
      </c>
      <c r="C36" s="107">
        <v>1110091</v>
      </c>
      <c r="D36" s="92" t="s">
        <v>16</v>
      </c>
      <c r="E36">
        <f t="shared" si="0"/>
        <v>26.433741745919889</v>
      </c>
      <c r="G36" s="128">
        <v>903797</v>
      </c>
      <c r="H36" s="129" t="s">
        <v>93</v>
      </c>
      <c r="I36" s="129" t="s">
        <v>130</v>
      </c>
      <c r="J36" s="129" t="s">
        <v>154</v>
      </c>
      <c r="K36" s="132">
        <v>2.341176913292017</v>
      </c>
      <c r="L36" s="133">
        <v>39.027220195911802</v>
      </c>
      <c r="M36" s="133"/>
      <c r="N36" s="132"/>
      <c r="O36" s="133">
        <v>39.027220195911802</v>
      </c>
    </row>
    <row r="37" spans="2:15" ht="15.75" x14ac:dyDescent="0.3">
      <c r="B37" s="107">
        <v>904773</v>
      </c>
      <c r="C37" s="107">
        <v>1170235</v>
      </c>
      <c r="D37" s="92" t="s">
        <v>14</v>
      </c>
      <c r="E37">
        <f t="shared" si="0"/>
        <v>0.51229414220967784</v>
      </c>
      <c r="G37" s="128">
        <v>904496</v>
      </c>
      <c r="H37" s="129" t="s">
        <v>93</v>
      </c>
      <c r="I37" s="129" t="s">
        <v>130</v>
      </c>
      <c r="J37" s="129" t="s">
        <v>155</v>
      </c>
      <c r="K37" s="132">
        <v>0.77405702719974556</v>
      </c>
      <c r="L37" s="133">
        <v>24.068379601432252</v>
      </c>
      <c r="M37" s="133"/>
      <c r="N37" s="132"/>
      <c r="O37" s="133">
        <v>24.068379601432252</v>
      </c>
    </row>
    <row r="38" spans="2:15" ht="15.75" x14ac:dyDescent="0.3">
      <c r="B38" s="107">
        <v>902581</v>
      </c>
      <c r="C38" s="107">
        <v>1017033</v>
      </c>
      <c r="D38" s="92" t="s">
        <v>13</v>
      </c>
      <c r="E38">
        <f t="shared" si="0"/>
        <v>5.7384233755823741</v>
      </c>
      <c r="G38" s="128">
        <v>903318</v>
      </c>
      <c r="H38" s="129" t="s">
        <v>100</v>
      </c>
      <c r="I38" s="129" t="s">
        <v>156</v>
      </c>
      <c r="J38" s="129" t="s">
        <v>157</v>
      </c>
      <c r="K38" s="132">
        <v>12.217505103870849</v>
      </c>
      <c r="L38" s="133">
        <v>518.30521984819711</v>
      </c>
      <c r="M38" s="133"/>
      <c r="N38" s="132"/>
      <c r="O38" s="133">
        <v>518.30521984819711</v>
      </c>
    </row>
    <row r="39" spans="2:15" ht="15.75" x14ac:dyDescent="0.3">
      <c r="B39" s="107">
        <v>903901</v>
      </c>
      <c r="C39" s="107">
        <v>1170142</v>
      </c>
      <c r="D39" s="92" t="s">
        <v>2</v>
      </c>
      <c r="E39">
        <f t="shared" si="0"/>
        <v>5.78170599357885</v>
      </c>
      <c r="G39" s="128">
        <v>900525</v>
      </c>
      <c r="H39" s="129" t="s">
        <v>100</v>
      </c>
      <c r="I39" s="129" t="s">
        <v>128</v>
      </c>
      <c r="J39" s="129" t="s">
        <v>157</v>
      </c>
      <c r="K39" s="132">
        <v>14.651911786993423</v>
      </c>
      <c r="L39" s="133">
        <v>600.54631928075321</v>
      </c>
      <c r="M39" s="133"/>
      <c r="N39" s="132"/>
      <c r="O39" s="133">
        <v>600.54631928075321</v>
      </c>
    </row>
    <row r="40" spans="2:15" ht="15.75" x14ac:dyDescent="0.3">
      <c r="B40" s="107">
        <v>904782</v>
      </c>
      <c r="C40" s="107">
        <v>1169716</v>
      </c>
      <c r="D40" s="92" t="s">
        <v>1</v>
      </c>
      <c r="E40">
        <f t="shared" si="0"/>
        <v>5.5787522493877635</v>
      </c>
      <c r="G40" s="128">
        <v>902321</v>
      </c>
      <c r="H40" s="129" t="s">
        <v>100</v>
      </c>
      <c r="I40" s="129" t="s">
        <v>130</v>
      </c>
      <c r="J40" s="129" t="s">
        <v>157</v>
      </c>
      <c r="K40" s="132">
        <v>13.77883122365472</v>
      </c>
      <c r="L40" s="133">
        <v>743.13605343400457</v>
      </c>
      <c r="M40" s="133"/>
      <c r="N40" s="132"/>
      <c r="O40" s="133">
        <v>743.13605343400457</v>
      </c>
    </row>
    <row r="41" spans="2:15" ht="15.75" x14ac:dyDescent="0.3">
      <c r="B41" s="21">
        <v>903795</v>
      </c>
      <c r="C41" s="22">
        <v>1155646</v>
      </c>
      <c r="D41" s="75" t="s">
        <v>94</v>
      </c>
      <c r="E41">
        <f t="shared" si="0"/>
        <v>39.144384407876984</v>
      </c>
      <c r="G41" s="128">
        <v>902323</v>
      </c>
      <c r="H41" s="129" t="s">
        <v>100</v>
      </c>
      <c r="I41" s="129" t="s">
        <v>130</v>
      </c>
      <c r="J41" s="129" t="s">
        <v>158</v>
      </c>
      <c r="K41" s="132">
        <v>0</v>
      </c>
      <c r="L41" s="133">
        <v>0</v>
      </c>
      <c r="M41" s="133"/>
      <c r="N41" s="132"/>
      <c r="O41" s="133">
        <v>0</v>
      </c>
    </row>
    <row r="42" spans="2:15" ht="15.75" x14ac:dyDescent="0.3">
      <c r="B42" s="20">
        <v>903791</v>
      </c>
      <c r="C42" s="20">
        <v>1155674</v>
      </c>
      <c r="D42" s="75" t="s">
        <v>95</v>
      </c>
      <c r="E42">
        <f t="shared" si="0"/>
        <v>24.631529793241139</v>
      </c>
      <c r="G42" s="128">
        <v>419454</v>
      </c>
      <c r="H42" s="129" t="s">
        <v>159</v>
      </c>
      <c r="I42" s="129" t="s">
        <v>143</v>
      </c>
      <c r="J42" s="129" t="s">
        <v>160</v>
      </c>
      <c r="K42" s="132">
        <v>0</v>
      </c>
      <c r="L42" s="133">
        <v>8.4554734900433459</v>
      </c>
      <c r="M42" s="133"/>
      <c r="N42" s="132"/>
      <c r="O42" s="133">
        <v>8.4554734900433459</v>
      </c>
    </row>
    <row r="43" spans="2:15" ht="15.75" x14ac:dyDescent="0.3">
      <c r="B43" s="21">
        <v>903793</v>
      </c>
      <c r="C43" s="20">
        <v>1155658</v>
      </c>
      <c r="D43" s="75" t="s">
        <v>96</v>
      </c>
      <c r="E43">
        <f t="shared" si="0"/>
        <v>12.054436255398111</v>
      </c>
      <c r="G43" s="128">
        <v>419465</v>
      </c>
      <c r="H43" s="129" t="s">
        <v>159</v>
      </c>
      <c r="I43" s="129" t="s">
        <v>161</v>
      </c>
      <c r="J43" s="129" t="s">
        <v>160</v>
      </c>
      <c r="K43" s="132">
        <v>0</v>
      </c>
      <c r="L43" s="133">
        <v>29.508454882405125</v>
      </c>
      <c r="M43" s="133"/>
      <c r="N43" s="132"/>
      <c r="O43" s="133">
        <v>29.508454882405125</v>
      </c>
    </row>
    <row r="44" spans="2:15" ht="15.75" x14ac:dyDescent="0.3">
      <c r="B44" s="22">
        <v>903797</v>
      </c>
      <c r="C44" s="20">
        <v>1155678</v>
      </c>
      <c r="D44" s="75" t="s">
        <v>98</v>
      </c>
      <c r="E44">
        <f t="shared" si="0"/>
        <v>39.027220195911802</v>
      </c>
      <c r="G44" s="128">
        <v>419444</v>
      </c>
      <c r="H44" s="129" t="s">
        <v>162</v>
      </c>
      <c r="I44" s="129" t="s">
        <v>161</v>
      </c>
      <c r="J44" s="129" t="s">
        <v>163</v>
      </c>
      <c r="K44" s="132">
        <v>7.2016058423895135E-2</v>
      </c>
      <c r="L44" s="133">
        <v>4.244838010961387</v>
      </c>
      <c r="M44" s="133"/>
      <c r="N44" s="132"/>
      <c r="O44" s="133">
        <v>4.244838010961387</v>
      </c>
    </row>
    <row r="45" spans="2:15" ht="15.75" x14ac:dyDescent="0.3">
      <c r="B45" s="22">
        <v>904496</v>
      </c>
      <c r="C45" s="77">
        <v>1155679</v>
      </c>
      <c r="D45" s="78" t="s">
        <v>99</v>
      </c>
      <c r="E45">
        <f t="shared" si="0"/>
        <v>24.068379601432252</v>
      </c>
      <c r="G45" s="128">
        <v>901781</v>
      </c>
      <c r="H45" s="129" t="s">
        <v>79</v>
      </c>
      <c r="I45" s="129" t="s">
        <v>128</v>
      </c>
      <c r="J45" s="129" t="s">
        <v>164</v>
      </c>
      <c r="K45" s="132">
        <v>14.872851248964714</v>
      </c>
      <c r="L45" s="133">
        <v>66.89434400455842</v>
      </c>
      <c r="M45" s="133"/>
      <c r="N45" s="132"/>
      <c r="O45" s="133">
        <v>66.89434400455842</v>
      </c>
    </row>
    <row r="46" spans="2:15" ht="15.75" x14ac:dyDescent="0.3">
      <c r="B46" s="20">
        <v>900525</v>
      </c>
      <c r="C46" s="22">
        <v>90725</v>
      </c>
      <c r="D46" s="75" t="s">
        <v>101</v>
      </c>
      <c r="E46">
        <f t="shared" si="0"/>
        <v>600.54631928075321</v>
      </c>
      <c r="G46" s="128">
        <v>903750</v>
      </c>
      <c r="H46" s="129" t="s">
        <v>79</v>
      </c>
      <c r="I46" s="129" t="s">
        <v>130</v>
      </c>
      <c r="J46" s="129" t="s">
        <v>164</v>
      </c>
      <c r="K46" s="132">
        <v>4.346819858290246</v>
      </c>
      <c r="L46" s="133">
        <v>1159.7493749422274</v>
      </c>
      <c r="M46" s="133"/>
      <c r="N46" s="132"/>
      <c r="O46" s="133">
        <v>1159.7493749422274</v>
      </c>
    </row>
    <row r="47" spans="2:15" ht="15.75" x14ac:dyDescent="0.3">
      <c r="B47" s="20">
        <v>902321</v>
      </c>
      <c r="C47" s="21">
        <v>1015460</v>
      </c>
      <c r="D47" s="75" t="s">
        <v>102</v>
      </c>
      <c r="E47">
        <f t="shared" si="0"/>
        <v>743.13605343400457</v>
      </c>
      <c r="G47" s="128">
        <v>904194</v>
      </c>
      <c r="H47" s="129" t="s">
        <v>79</v>
      </c>
      <c r="I47" s="129" t="s">
        <v>143</v>
      </c>
      <c r="J47" s="129" t="s">
        <v>164</v>
      </c>
      <c r="K47" s="132">
        <v>16.131613180585006</v>
      </c>
      <c r="L47" s="133">
        <v>135.19317305427191</v>
      </c>
      <c r="M47" s="133"/>
      <c r="N47" s="132"/>
      <c r="O47" s="133">
        <v>135.19317305427191</v>
      </c>
    </row>
    <row r="48" spans="2:15" ht="15.75" x14ac:dyDescent="0.3">
      <c r="B48" s="20">
        <v>903318</v>
      </c>
      <c r="C48" s="20">
        <v>1059549</v>
      </c>
      <c r="D48" s="75" t="s">
        <v>103</v>
      </c>
      <c r="E48">
        <f t="shared" si="0"/>
        <v>518.30521984819711</v>
      </c>
      <c r="G48" s="128">
        <v>904771</v>
      </c>
      <c r="H48" s="129" t="s">
        <v>165</v>
      </c>
      <c r="I48" s="129" t="s">
        <v>128</v>
      </c>
      <c r="J48" s="129" t="s">
        <v>166</v>
      </c>
      <c r="K48" s="132">
        <v>2.7139915292190189</v>
      </c>
      <c r="L48" s="133">
        <v>15.239323172326237</v>
      </c>
      <c r="M48" s="133"/>
      <c r="N48" s="132"/>
      <c r="O48" s="133">
        <v>15.239323172326237</v>
      </c>
    </row>
    <row r="49" spans="7:15" ht="15.75" x14ac:dyDescent="0.3">
      <c r="G49" s="128">
        <v>904772</v>
      </c>
      <c r="H49" s="129" t="s">
        <v>165</v>
      </c>
      <c r="I49" s="129" t="s">
        <v>130</v>
      </c>
      <c r="J49" s="129" t="s">
        <v>166</v>
      </c>
      <c r="K49" s="132">
        <v>-1.6868570495941562</v>
      </c>
      <c r="L49" s="133">
        <v>45.044363770722455</v>
      </c>
      <c r="M49" s="133"/>
      <c r="N49" s="132"/>
      <c r="O49" s="133">
        <v>45.044363770722455</v>
      </c>
    </row>
    <row r="50" spans="7:15" ht="15.75" x14ac:dyDescent="0.3">
      <c r="G50" s="128">
        <v>903483</v>
      </c>
      <c r="H50" s="129" t="s">
        <v>75</v>
      </c>
      <c r="I50" s="129" t="s">
        <v>167</v>
      </c>
      <c r="J50" s="129" t="s">
        <v>164</v>
      </c>
      <c r="K50" s="132">
        <v>4.096579400918813</v>
      </c>
      <c r="L50" s="133">
        <v>346.15712351144663</v>
      </c>
      <c r="M50" s="133"/>
      <c r="N50" s="132"/>
      <c r="O50" s="133">
        <v>346.15712351144663</v>
      </c>
    </row>
    <row r="51" spans="7:15" ht="15.75" x14ac:dyDescent="0.3">
      <c r="G51" s="128">
        <v>903480</v>
      </c>
      <c r="H51" s="129" t="s">
        <v>75</v>
      </c>
      <c r="I51" s="129" t="s">
        <v>136</v>
      </c>
      <c r="J51" s="129" t="s">
        <v>164</v>
      </c>
      <c r="K51" s="132">
        <v>4.6625660737402654</v>
      </c>
      <c r="L51" s="133">
        <v>181.79502048561346</v>
      </c>
      <c r="M51" s="133"/>
      <c r="N51" s="132"/>
      <c r="O51" s="133">
        <v>181.79502048561346</v>
      </c>
    </row>
    <row r="52" spans="7:15" ht="15.75" x14ac:dyDescent="0.3">
      <c r="G52" s="128">
        <v>904721</v>
      </c>
      <c r="H52" s="129" t="s">
        <v>75</v>
      </c>
      <c r="I52" s="129" t="s">
        <v>143</v>
      </c>
      <c r="J52" s="129" t="s">
        <v>164</v>
      </c>
      <c r="K52" s="132">
        <v>79.675236506501278</v>
      </c>
      <c r="L52" s="133">
        <v>2715.4189497962143</v>
      </c>
      <c r="M52" s="133"/>
      <c r="N52" s="132"/>
      <c r="O52" s="133">
        <v>2715.4189497962143</v>
      </c>
    </row>
    <row r="53" spans="7:15" ht="15.75" x14ac:dyDescent="0.3">
      <c r="G53" s="128">
        <v>905291</v>
      </c>
      <c r="H53" s="129" t="s">
        <v>75</v>
      </c>
      <c r="I53" s="129" t="s">
        <v>168</v>
      </c>
      <c r="J53" s="129" t="s">
        <v>164</v>
      </c>
      <c r="K53" s="132">
        <v>14.415940146236721</v>
      </c>
      <c r="L53" s="133">
        <v>658.05929720029212</v>
      </c>
      <c r="M53" s="133"/>
      <c r="N53" s="132"/>
      <c r="O53" s="133">
        <v>658.05929720029212</v>
      </c>
    </row>
    <row r="54" spans="7:15" ht="15.75" x14ac:dyDescent="0.3">
      <c r="G54" s="128">
        <v>903478</v>
      </c>
      <c r="H54" s="129" t="s">
        <v>75</v>
      </c>
      <c r="I54" s="129" t="s">
        <v>169</v>
      </c>
      <c r="J54" s="129" t="s">
        <v>164</v>
      </c>
      <c r="K54" s="132">
        <v>35.710452865049774</v>
      </c>
      <c r="L54" s="133">
        <v>1521.7552808701912</v>
      </c>
      <c r="M54" s="133"/>
      <c r="N54" s="132"/>
      <c r="O54" s="133">
        <v>1521.7552808701912</v>
      </c>
    </row>
    <row r="55" spans="7:15" ht="15.75" x14ac:dyDescent="0.3">
      <c r="G55" s="128">
        <v>904932</v>
      </c>
      <c r="H55" s="129" t="s">
        <v>75</v>
      </c>
      <c r="I55" s="129" t="s">
        <v>145</v>
      </c>
      <c r="J55" s="129" t="s">
        <v>164</v>
      </c>
      <c r="K55" s="132">
        <v>73.03336698569592</v>
      </c>
      <c r="L55" s="133">
        <v>2993.4110038429153</v>
      </c>
      <c r="M55" s="133"/>
      <c r="N55" s="132"/>
      <c r="O55" s="133">
        <v>2993.4110038429153</v>
      </c>
    </row>
    <row r="56" spans="7:15" ht="15.75" x14ac:dyDescent="0.3">
      <c r="G56" s="128">
        <v>904701</v>
      </c>
      <c r="H56" s="129" t="s">
        <v>170</v>
      </c>
      <c r="I56" s="129" t="s">
        <v>171</v>
      </c>
      <c r="J56" s="129" t="s">
        <v>164</v>
      </c>
      <c r="K56" s="132">
        <v>-7.2347111453671147</v>
      </c>
      <c r="L56" s="133">
        <v>46.290786460231608</v>
      </c>
      <c r="M56" s="133"/>
      <c r="N56" s="132"/>
      <c r="O56" s="133">
        <v>46.290786460231608</v>
      </c>
    </row>
    <row r="57" spans="7:15" ht="15.75" x14ac:dyDescent="0.3">
      <c r="G57" s="128">
        <v>904895</v>
      </c>
      <c r="H57" s="129" t="s">
        <v>172</v>
      </c>
      <c r="I57" s="129" t="s">
        <v>143</v>
      </c>
      <c r="J57" s="129" t="s">
        <v>173</v>
      </c>
      <c r="K57" s="132">
        <v>9.9118660314180715</v>
      </c>
      <c r="L57" s="133">
        <v>206.99601594917411</v>
      </c>
      <c r="M57" s="133"/>
      <c r="N57" s="132"/>
      <c r="O57" s="133">
        <v>206.99601594917411</v>
      </c>
    </row>
    <row r="58" spans="7:15" ht="15.75" x14ac:dyDescent="0.3">
      <c r="G58" s="128">
        <v>903996</v>
      </c>
      <c r="H58" s="129" t="s">
        <v>172</v>
      </c>
      <c r="I58" s="129" t="s">
        <v>169</v>
      </c>
      <c r="J58" s="129" t="s">
        <v>173</v>
      </c>
      <c r="K58" s="132">
        <v>4.4965326878080134</v>
      </c>
      <c r="L58" s="133">
        <v>254.85503410094307</v>
      </c>
      <c r="M58" s="133"/>
      <c r="N58" s="132"/>
      <c r="O58" s="133">
        <v>254.85503410094307</v>
      </c>
    </row>
    <row r="59" spans="7:15" ht="15.75" x14ac:dyDescent="0.3">
      <c r="G59" s="128">
        <v>904961</v>
      </c>
      <c r="H59" s="129" t="s">
        <v>172</v>
      </c>
      <c r="I59" s="129" t="s">
        <v>145</v>
      </c>
      <c r="J59" s="129" t="s">
        <v>173</v>
      </c>
      <c r="K59" s="132">
        <v>8.6814322342844434</v>
      </c>
      <c r="L59" s="133">
        <v>300.26763638802458</v>
      </c>
      <c r="M59" s="133"/>
      <c r="N59" s="132"/>
      <c r="O59" s="133">
        <v>300.26763638802458</v>
      </c>
    </row>
    <row r="60" spans="7:15" ht="15.75" x14ac:dyDescent="0.3">
      <c r="G60" s="128">
        <v>631974</v>
      </c>
      <c r="H60" s="129" t="s">
        <v>141</v>
      </c>
      <c r="I60" s="129" t="s">
        <v>128</v>
      </c>
      <c r="J60" s="129" t="s">
        <v>144</v>
      </c>
      <c r="K60" s="132">
        <v>0</v>
      </c>
      <c r="L60" s="133">
        <v>31.259693115698614</v>
      </c>
      <c r="M60" s="133"/>
      <c r="N60" s="132"/>
      <c r="O60" s="133">
        <v>31.259693115698614</v>
      </c>
    </row>
    <row r="61" spans="7:15" ht="15.75" x14ac:dyDescent="0.3">
      <c r="G61" s="128">
        <v>419450</v>
      </c>
      <c r="H61" s="129" t="s">
        <v>179</v>
      </c>
      <c r="I61" s="129" t="s">
        <v>180</v>
      </c>
      <c r="J61" s="129" t="s">
        <v>181</v>
      </c>
      <c r="K61" s="132">
        <v>0.45200000000000001</v>
      </c>
      <c r="L61" s="133">
        <v>0</v>
      </c>
      <c r="M61" s="133"/>
      <c r="N61" s="132"/>
      <c r="O61" s="133">
        <v>0</v>
      </c>
    </row>
    <row r="62" spans="7:15" ht="15.75" x14ac:dyDescent="0.3">
      <c r="G62" s="128">
        <v>905192</v>
      </c>
      <c r="H62" s="129" t="s">
        <v>182</v>
      </c>
      <c r="I62" s="129" t="s">
        <v>143</v>
      </c>
      <c r="J62" s="129" t="s">
        <v>183</v>
      </c>
      <c r="K62" s="132"/>
      <c r="L62" s="133">
        <v>6.0198725616769497</v>
      </c>
      <c r="M62" s="133"/>
      <c r="N62" s="132"/>
      <c r="O62" s="133">
        <v>6.0198725616769497</v>
      </c>
    </row>
    <row r="63" spans="7:15" ht="15.75" x14ac:dyDescent="0.3">
      <c r="G63" s="128">
        <v>905282</v>
      </c>
      <c r="H63" s="129" t="s">
        <v>93</v>
      </c>
      <c r="I63" s="129" t="s">
        <v>130</v>
      </c>
      <c r="J63" s="129" t="s">
        <v>184</v>
      </c>
      <c r="K63" s="132"/>
      <c r="L63" s="133">
        <v>0.12750978288917805</v>
      </c>
      <c r="M63" s="133"/>
      <c r="N63" s="132"/>
      <c r="O63" s="133">
        <v>0.12750978288917805</v>
      </c>
    </row>
    <row r="64" spans="7:15" ht="15.75" x14ac:dyDescent="0.3">
      <c r="G64" s="128">
        <v>905283</v>
      </c>
      <c r="H64" s="129" t="s">
        <v>93</v>
      </c>
      <c r="I64" s="129" t="s">
        <v>130</v>
      </c>
      <c r="J64" s="129" t="s">
        <v>185</v>
      </c>
      <c r="K64" s="132"/>
      <c r="L64" s="133">
        <v>2.9412707393447541</v>
      </c>
      <c r="M64" s="133"/>
      <c r="N64" s="132"/>
      <c r="O64" s="133">
        <v>2.9412707393447541</v>
      </c>
    </row>
    <row r="65" spans="7:15" ht="15.75" x14ac:dyDescent="0.3">
      <c r="G65" s="128">
        <v>903940</v>
      </c>
      <c r="H65" s="129" t="s">
        <v>75</v>
      </c>
      <c r="I65" s="129" t="s">
        <v>186</v>
      </c>
      <c r="J65" s="129" t="s">
        <v>164</v>
      </c>
      <c r="K65" s="132"/>
      <c r="L65" s="133">
        <v>0.67730886276793056</v>
      </c>
      <c r="M65" s="133"/>
      <c r="N65" s="132"/>
      <c r="O65" s="133">
        <v>0.67730886276793056</v>
      </c>
    </row>
    <row r="66" spans="7:15" ht="15.75" x14ac:dyDescent="0.3">
      <c r="G66" s="128">
        <v>634957</v>
      </c>
      <c r="H66" s="129" t="s">
        <v>141</v>
      </c>
      <c r="I66" s="129" t="s">
        <v>136</v>
      </c>
      <c r="J66" s="129" t="s">
        <v>142</v>
      </c>
      <c r="K66" s="132"/>
      <c r="L66" s="133">
        <v>9.5267281489947031</v>
      </c>
      <c r="M66" s="133"/>
      <c r="N66" s="132"/>
      <c r="O66" s="133">
        <v>9.5267281489947031</v>
      </c>
    </row>
    <row r="67" spans="7:15" ht="15.75" x14ac:dyDescent="0.3">
      <c r="G67" s="128">
        <v>905271</v>
      </c>
      <c r="H67" s="129" t="s">
        <v>170</v>
      </c>
      <c r="I67" s="129" t="s">
        <v>169</v>
      </c>
      <c r="J67" s="129" t="s">
        <v>173</v>
      </c>
      <c r="K67" s="132"/>
      <c r="L67" s="133">
        <v>111.11242405212826</v>
      </c>
      <c r="M67" s="133"/>
      <c r="N67" s="132"/>
      <c r="O67" s="133">
        <v>111.11242405212826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3EF1-8203-4813-B32D-D3FD1C9BEB8F}">
  <dimension ref="B1:E48"/>
  <sheetViews>
    <sheetView topLeftCell="A30" workbookViewId="0">
      <selection activeCell="C3" sqref="C3:C48"/>
    </sheetView>
  </sheetViews>
  <sheetFormatPr defaultRowHeight="15" x14ac:dyDescent="0.25"/>
  <cols>
    <col min="5" max="5" width="36.28515625" bestFit="1" customWidth="1"/>
  </cols>
  <sheetData>
    <row r="1" spans="2:5" x14ac:dyDescent="0.25">
      <c r="C1">
        <f>SUBTOTAL(9,C3:C48)</f>
        <v>15425.034814285549</v>
      </c>
    </row>
    <row r="2" spans="2:5" ht="24" x14ac:dyDescent="0.25">
      <c r="B2" s="15" t="s">
        <v>84</v>
      </c>
      <c r="C2" s="15"/>
      <c r="D2" s="17" t="s">
        <v>47</v>
      </c>
      <c r="E2" s="17" t="s">
        <v>46</v>
      </c>
    </row>
    <row r="3" spans="2:5" x14ac:dyDescent="0.25">
      <c r="B3" s="22">
        <v>904113</v>
      </c>
      <c r="C3" s="22">
        <f>VLOOKUP(B3,[2]Samuel!$D:$H,5,0)</f>
        <v>1024.2386157878291</v>
      </c>
      <c r="D3" s="22">
        <v>1052772</v>
      </c>
      <c r="E3" s="11" t="s">
        <v>30</v>
      </c>
    </row>
    <row r="4" spans="2:5" x14ac:dyDescent="0.25">
      <c r="B4" s="20">
        <v>904952</v>
      </c>
      <c r="C4" s="22">
        <f>VLOOKUP(B4,[2]Samuel!$D:$H,5,0)</f>
        <v>933.50238588312027</v>
      </c>
      <c r="D4" s="20">
        <v>1193288</v>
      </c>
      <c r="E4" s="11" t="s">
        <v>53</v>
      </c>
    </row>
    <row r="5" spans="2:5" x14ac:dyDescent="0.25">
      <c r="B5" s="20">
        <v>905052</v>
      </c>
      <c r="C5" s="22">
        <f>VLOOKUP(B5,[2]Samuel!$D:$H,5,0)</f>
        <v>20.218269558108179</v>
      </c>
      <c r="D5" s="20">
        <v>1207152</v>
      </c>
      <c r="E5" s="11" t="s">
        <v>122</v>
      </c>
    </row>
    <row r="6" spans="2:5" x14ac:dyDescent="0.25">
      <c r="B6" s="20">
        <v>904631</v>
      </c>
      <c r="C6" s="22">
        <f>VLOOKUP(B6,[2]Samuel!$D:$H,5,0)</f>
        <v>11.222351103363971</v>
      </c>
      <c r="D6" s="20">
        <v>1160860</v>
      </c>
      <c r="E6" s="11" t="s">
        <v>29</v>
      </c>
    </row>
    <row r="7" spans="2:5" x14ac:dyDescent="0.25">
      <c r="B7" s="20">
        <v>904194</v>
      </c>
      <c r="C7" s="22">
        <f>VLOOKUP(B7,[2]Samuel!$D:$H,5,0)</f>
        <v>225.47286887816139</v>
      </c>
      <c r="D7" s="20">
        <v>1153719</v>
      </c>
      <c r="E7" s="11" t="s">
        <v>12</v>
      </c>
    </row>
    <row r="8" spans="2:5" x14ac:dyDescent="0.25">
      <c r="B8" s="20">
        <v>903750</v>
      </c>
      <c r="C8" s="22">
        <f>VLOOKUP(B8,[2]Samuel!$D:$H,5,0)</f>
        <v>682.05427503988267</v>
      </c>
      <c r="D8" s="20">
        <v>1055249</v>
      </c>
      <c r="E8" s="11" t="s">
        <v>11</v>
      </c>
    </row>
    <row r="9" spans="2:5" x14ac:dyDescent="0.25">
      <c r="B9" s="20">
        <v>901781</v>
      </c>
      <c r="C9" s="22">
        <f>VLOOKUP(B9,[2]Samuel!$D:$H,5,0)</f>
        <v>81.56112552546962</v>
      </c>
      <c r="D9" s="20">
        <v>1016972</v>
      </c>
      <c r="E9" s="11" t="s">
        <v>10</v>
      </c>
    </row>
    <row r="10" spans="2:5" x14ac:dyDescent="0.25">
      <c r="B10" s="20">
        <v>904772</v>
      </c>
      <c r="C10" s="22">
        <f>VLOOKUP(B10,[2]Samuel!$D:$H,5,0)</f>
        <v>43.494472674870174</v>
      </c>
      <c r="D10" s="20">
        <v>1170146</v>
      </c>
      <c r="E10" s="11" t="s">
        <v>9</v>
      </c>
    </row>
    <row r="11" spans="2:5" x14ac:dyDescent="0.25">
      <c r="B11" s="20">
        <v>904771</v>
      </c>
      <c r="C11" s="22">
        <f>VLOOKUP(B11,[2]Samuel!$D:$H,5,0)</f>
        <v>17.815494236325321</v>
      </c>
      <c r="D11" s="20">
        <v>1170180</v>
      </c>
      <c r="E11" s="11" t="s">
        <v>8</v>
      </c>
    </row>
    <row r="12" spans="2:5" x14ac:dyDescent="0.25">
      <c r="B12" s="20">
        <v>904895</v>
      </c>
      <c r="C12" s="22">
        <f>VLOOKUP(B12,[2]Samuel!$D:$H,5,0)</f>
        <v>104.28896260131955</v>
      </c>
      <c r="D12" s="20">
        <v>1208101</v>
      </c>
      <c r="E12" s="11" t="s">
        <v>64</v>
      </c>
    </row>
    <row r="13" spans="2:5" x14ac:dyDescent="0.25">
      <c r="B13" s="20">
        <v>904961</v>
      </c>
      <c r="C13" s="22">
        <f>VLOOKUP(B13,[2]Samuel!$D:$H,5,0)</f>
        <v>220.90674766946134</v>
      </c>
      <c r="D13" s="20">
        <v>1193325</v>
      </c>
      <c r="E13" s="11" t="s">
        <v>54</v>
      </c>
    </row>
    <row r="14" spans="2:5" x14ac:dyDescent="0.25">
      <c r="B14" s="20">
        <v>903996</v>
      </c>
      <c r="C14" s="22">
        <f>VLOOKUP(B14,[2]Samuel!$D:$H,5,0)</f>
        <v>204.65499473479858</v>
      </c>
      <c r="D14" s="20">
        <v>1140139</v>
      </c>
      <c r="E14" s="11" t="s">
        <v>7</v>
      </c>
    </row>
    <row r="15" spans="2:5" x14ac:dyDescent="0.25">
      <c r="B15" s="22">
        <v>904721</v>
      </c>
      <c r="C15" s="22">
        <f>VLOOKUP(B15,[2]Samuel!$D:$H,5,0)</f>
        <v>3178.0539306391524</v>
      </c>
      <c r="D15" s="22">
        <v>1169727</v>
      </c>
      <c r="E15" s="75" t="s">
        <v>6</v>
      </c>
    </row>
    <row r="16" spans="2:5" x14ac:dyDescent="0.25">
      <c r="B16" s="22">
        <v>904932</v>
      </c>
      <c r="C16" s="22">
        <f>VLOOKUP(B16,[2]Samuel!$D:$H,5,0)</f>
        <v>2276.6252265833587</v>
      </c>
      <c r="D16" s="22">
        <v>1193319</v>
      </c>
      <c r="E16" s="75" t="s">
        <v>55</v>
      </c>
    </row>
    <row r="17" spans="2:5" x14ac:dyDescent="0.25">
      <c r="B17" s="22">
        <v>903474</v>
      </c>
      <c r="C17" s="22">
        <f>VLOOKUP(B17,[2]Samuel!$D:$H,5,0)</f>
        <v>1015.7791142938404</v>
      </c>
      <c r="D17" s="22">
        <v>1016561</v>
      </c>
      <c r="E17" s="75" t="s">
        <v>5</v>
      </c>
    </row>
    <row r="18" spans="2:5" x14ac:dyDescent="0.25">
      <c r="B18" s="20">
        <v>903478</v>
      </c>
      <c r="C18" s="22">
        <f>VLOOKUP(B18,[2]Samuel!$D:$H,5,0)</f>
        <v>998.43689247493921</v>
      </c>
      <c r="D18" s="20">
        <v>1045807</v>
      </c>
      <c r="E18" s="11" t="s">
        <v>4</v>
      </c>
    </row>
    <row r="19" spans="2:5" x14ac:dyDescent="0.25">
      <c r="B19" s="20">
        <v>903480</v>
      </c>
      <c r="C19" s="22">
        <f>VLOOKUP(B19,[2]Samuel!$D:$H,5,0)</f>
        <v>122.84633432784787</v>
      </c>
      <c r="D19" s="20">
        <v>99187</v>
      </c>
      <c r="E19" s="11" t="s">
        <v>3</v>
      </c>
    </row>
    <row r="20" spans="2:5" x14ac:dyDescent="0.25">
      <c r="B20" s="20">
        <v>904701</v>
      </c>
      <c r="C20" s="22">
        <f>VLOOKUP(B20,[2]Samuel!$D:$H,5,0)</f>
        <v>137.74446176418658</v>
      </c>
      <c r="D20" s="20">
        <v>1022426</v>
      </c>
      <c r="E20" s="11" t="s">
        <v>60</v>
      </c>
    </row>
    <row r="21" spans="2:5" x14ac:dyDescent="0.25">
      <c r="B21" s="20">
        <v>903483</v>
      </c>
      <c r="C21" s="22">
        <f>VLOOKUP(B21,[2]Samuel!$D:$H,5,0)</f>
        <v>428.66051177011542</v>
      </c>
      <c r="D21" s="20">
        <v>75013</v>
      </c>
      <c r="E21" s="11" t="s">
        <v>0</v>
      </c>
    </row>
    <row r="22" spans="2:5" x14ac:dyDescent="0.25">
      <c r="B22" s="91">
        <v>902832</v>
      </c>
      <c r="C22" s="22">
        <f>VLOOKUP(B22,[2]Samuel!$D:$H,5,0)</f>
        <v>22.706594976098948</v>
      </c>
      <c r="D22" s="91">
        <v>1046669</v>
      </c>
      <c r="E22" s="92" t="s">
        <v>28</v>
      </c>
    </row>
    <row r="23" spans="2:5" x14ac:dyDescent="0.25">
      <c r="B23" s="93">
        <v>900118</v>
      </c>
      <c r="C23" s="22">
        <f>VLOOKUP(B23,[2]Samuel!$D:$H,5,0)</f>
        <v>15.036378354686617</v>
      </c>
      <c r="D23" s="93">
        <v>1017028</v>
      </c>
      <c r="E23" s="92" t="s">
        <v>26</v>
      </c>
    </row>
    <row r="24" spans="2:5" x14ac:dyDescent="0.25">
      <c r="B24" s="107">
        <v>904451</v>
      </c>
      <c r="C24" s="22">
        <f>VLOOKUP(B24,[2]Samuel!$D:$H,5,0)</f>
        <v>67.57062423521154</v>
      </c>
      <c r="D24" s="107">
        <v>1147973</v>
      </c>
      <c r="E24" s="92" t="s">
        <v>23</v>
      </c>
    </row>
    <row r="25" spans="2:5" x14ac:dyDescent="0.25">
      <c r="B25" s="91">
        <v>904742</v>
      </c>
      <c r="C25" s="22">
        <f>VLOOKUP(B25,[2]Samuel!$D:$H,5,0)</f>
        <v>6.9924560865908436</v>
      </c>
      <c r="D25" s="91">
        <v>1169732</v>
      </c>
      <c r="E25" s="92" t="s">
        <v>56</v>
      </c>
    </row>
    <row r="26" spans="2:5" x14ac:dyDescent="0.25">
      <c r="B26" s="107">
        <v>904743</v>
      </c>
      <c r="C26" s="22">
        <f>VLOOKUP(B26,[2]Samuel!$D:$H,5,0)</f>
        <v>10.527808811858005</v>
      </c>
      <c r="D26" s="107">
        <v>1170232</v>
      </c>
      <c r="E26" s="92" t="s">
        <v>22</v>
      </c>
    </row>
    <row r="27" spans="2:5" x14ac:dyDescent="0.25">
      <c r="B27" s="91">
        <v>900109</v>
      </c>
      <c r="C27" s="22">
        <f>VLOOKUP(B27,[2]Samuel!$D:$H,5,0)</f>
        <v>9.9054795100023743</v>
      </c>
      <c r="D27" s="91">
        <v>1017027</v>
      </c>
      <c r="E27" s="92" t="s">
        <v>27</v>
      </c>
    </row>
    <row r="28" spans="2:5" x14ac:dyDescent="0.25">
      <c r="B28" s="93">
        <v>904441</v>
      </c>
      <c r="C28" s="22">
        <f>VLOOKUP(B28,[2]Samuel!$D:$H,5,0)</f>
        <v>34.064865349370905</v>
      </c>
      <c r="D28" s="93">
        <v>1147975</v>
      </c>
      <c r="E28" s="92" t="s">
        <v>24</v>
      </c>
    </row>
    <row r="29" spans="2:5" x14ac:dyDescent="0.25">
      <c r="B29" s="93">
        <v>901162</v>
      </c>
      <c r="C29" s="22">
        <f>VLOOKUP(B29,[2]Samuel!$D:$H,5,0)</f>
        <v>17.607746103539672</v>
      </c>
      <c r="D29" s="93">
        <v>1046689</v>
      </c>
      <c r="E29" s="92" t="s">
        <v>25</v>
      </c>
    </row>
    <row r="30" spans="2:5" x14ac:dyDescent="0.25">
      <c r="B30" s="107">
        <v>904193</v>
      </c>
      <c r="C30" s="22">
        <f>VLOOKUP(B30,[2]Samuel!$D:$H,5,0)</f>
        <v>55.628004245381824</v>
      </c>
      <c r="D30" s="107">
        <v>1150647</v>
      </c>
      <c r="E30" s="92" t="s">
        <v>21</v>
      </c>
    </row>
    <row r="31" spans="2:5" x14ac:dyDescent="0.25">
      <c r="B31" s="107">
        <v>904612</v>
      </c>
      <c r="C31" s="22">
        <f>VLOOKUP(B31,[2]Samuel!$D:$H,5,0)</f>
        <v>6.8597333743358773</v>
      </c>
      <c r="D31" s="107">
        <v>1155188</v>
      </c>
      <c r="E31" s="92" t="s">
        <v>20</v>
      </c>
    </row>
    <row r="32" spans="2:5" x14ac:dyDescent="0.25">
      <c r="B32" s="107">
        <v>904602</v>
      </c>
      <c r="C32" s="22">
        <f>VLOOKUP(B32,[2]Samuel!$D:$H,5,0)</f>
        <v>9.9037117025788994</v>
      </c>
      <c r="D32" s="107">
        <v>1160869</v>
      </c>
      <c r="E32" s="92" t="s">
        <v>19</v>
      </c>
    </row>
    <row r="33" spans="2:5" x14ac:dyDescent="0.25">
      <c r="B33" s="107">
        <v>903681</v>
      </c>
      <c r="C33" s="22">
        <f>VLOOKUP(B33,[2]Samuel!$D:$H,5,0)</f>
        <v>100.15679012330087</v>
      </c>
      <c r="D33" s="107">
        <v>1110090</v>
      </c>
      <c r="E33" s="92" t="s">
        <v>18</v>
      </c>
    </row>
    <row r="34" spans="2:5" x14ac:dyDescent="0.25">
      <c r="B34" s="107">
        <v>903741</v>
      </c>
      <c r="C34" s="22">
        <f>VLOOKUP(B34,[2]Samuel!$D:$H,5,0)</f>
        <v>42.8607334701234</v>
      </c>
      <c r="D34" s="107">
        <v>1080284</v>
      </c>
      <c r="E34" s="92" t="s">
        <v>17</v>
      </c>
    </row>
    <row r="35" spans="2:5" x14ac:dyDescent="0.25">
      <c r="B35" s="107">
        <v>902544</v>
      </c>
      <c r="C35" s="22">
        <f>VLOOKUP(B35,[2]Samuel!$D:$H,5,0)</f>
        <v>22.275703600644814</v>
      </c>
      <c r="D35" s="107">
        <v>1041649</v>
      </c>
      <c r="E35" s="92" t="s">
        <v>15</v>
      </c>
    </row>
    <row r="36" spans="2:5" x14ac:dyDescent="0.25">
      <c r="B36" s="107">
        <v>903683</v>
      </c>
      <c r="C36" s="22">
        <f>VLOOKUP(B36,[2]Samuel!$D:$H,5,0)</f>
        <v>34.481153521060719</v>
      </c>
      <c r="D36" s="107">
        <v>1110091</v>
      </c>
      <c r="E36" s="92" t="s">
        <v>16</v>
      </c>
    </row>
    <row r="37" spans="2:5" x14ac:dyDescent="0.25">
      <c r="B37" s="107">
        <v>904773</v>
      </c>
      <c r="C37" s="22">
        <f>VLOOKUP(B37,[2]Samuel!$D:$H,5,0)</f>
        <v>37.470284809530341</v>
      </c>
      <c r="D37" s="107">
        <v>1170235</v>
      </c>
      <c r="E37" s="92" t="s">
        <v>14</v>
      </c>
    </row>
    <row r="38" spans="2:5" x14ac:dyDescent="0.25">
      <c r="B38" s="107">
        <v>902581</v>
      </c>
      <c r="C38" s="22">
        <f>VLOOKUP(B38,[2]Samuel!$D:$H,5,0)</f>
        <v>17.224737614718869</v>
      </c>
      <c r="D38" s="107">
        <v>1017033</v>
      </c>
      <c r="E38" s="92" t="s">
        <v>13</v>
      </c>
    </row>
    <row r="39" spans="2:5" x14ac:dyDescent="0.25">
      <c r="B39" s="107">
        <v>903901</v>
      </c>
      <c r="C39" s="22">
        <f>VLOOKUP(B39,[2]Samuel!$D:$H,5,0)</f>
        <v>9.3050823900497619</v>
      </c>
      <c r="D39" s="107">
        <v>1170142</v>
      </c>
      <c r="E39" s="92" t="s">
        <v>2</v>
      </c>
    </row>
    <row r="40" spans="2:5" x14ac:dyDescent="0.25">
      <c r="B40" s="107">
        <v>904782</v>
      </c>
      <c r="C40" s="22">
        <f>VLOOKUP(B40,[2]Samuel!$D:$H,5,0)</f>
        <v>3.0195253639501094</v>
      </c>
      <c r="D40" s="107">
        <v>1169716</v>
      </c>
      <c r="E40" s="92" t="s">
        <v>1</v>
      </c>
    </row>
    <row r="41" spans="2:5" x14ac:dyDescent="0.25">
      <c r="B41" s="21">
        <v>903795</v>
      </c>
      <c r="C41" s="22">
        <f>VLOOKUP(B41,[2]Samuel!$D:$H,5,0)</f>
        <v>66.357199816574123</v>
      </c>
      <c r="D41" s="22">
        <v>1155646</v>
      </c>
      <c r="E41" s="75" t="s">
        <v>94</v>
      </c>
    </row>
    <row r="42" spans="2:5" x14ac:dyDescent="0.25">
      <c r="B42" s="20">
        <v>903791</v>
      </c>
      <c r="C42" s="22">
        <f>VLOOKUP(B42,[2]Samuel!$D:$H,5,0)</f>
        <v>72.995433485604721</v>
      </c>
      <c r="D42" s="20">
        <v>1155674</v>
      </c>
      <c r="E42" s="75" t="s">
        <v>95</v>
      </c>
    </row>
    <row r="43" spans="2:5" x14ac:dyDescent="0.25">
      <c r="B43" s="21">
        <v>903793</v>
      </c>
      <c r="C43" s="22">
        <f>VLOOKUP(B43,[2]Samuel!$D:$H,5,0)</f>
        <v>69.596480293057965</v>
      </c>
      <c r="D43" s="20">
        <v>1155658</v>
      </c>
      <c r="E43" s="75" t="s">
        <v>96</v>
      </c>
    </row>
    <row r="44" spans="2:5" x14ac:dyDescent="0.25">
      <c r="B44" s="22">
        <v>903797</v>
      </c>
      <c r="C44" s="22">
        <f>VLOOKUP(B44,[2]Samuel!$D:$H,5,0)</f>
        <v>49.436990132072829</v>
      </c>
      <c r="D44" s="20">
        <v>1155678</v>
      </c>
      <c r="E44" s="75" t="s">
        <v>98</v>
      </c>
    </row>
    <row r="45" spans="2:5" x14ac:dyDescent="0.25">
      <c r="B45" s="22">
        <v>904496</v>
      </c>
      <c r="C45" s="22">
        <f>VLOOKUP(B45,[2]Samuel!$D:$H,5,0)</f>
        <v>18.105979429969167</v>
      </c>
      <c r="D45" s="77">
        <v>1155679</v>
      </c>
      <c r="E45" s="78" t="s">
        <v>99</v>
      </c>
    </row>
    <row r="46" spans="2:5" x14ac:dyDescent="0.25">
      <c r="B46" s="20">
        <v>900525</v>
      </c>
      <c r="C46" s="22">
        <f>VLOOKUP(B46,[2]Samuel!$D:$H,5,0)</f>
        <v>579.3578727679544</v>
      </c>
      <c r="D46" s="22">
        <v>90725</v>
      </c>
      <c r="E46" s="75" t="s">
        <v>101</v>
      </c>
    </row>
    <row r="47" spans="2:5" x14ac:dyDescent="0.25">
      <c r="B47" s="20">
        <v>902321</v>
      </c>
      <c r="C47" s="22">
        <f>VLOOKUP(B47,[2]Samuel!$D:$H,5,0)</f>
        <v>1217.5102108040112</v>
      </c>
      <c r="D47" s="21">
        <v>1015460</v>
      </c>
      <c r="E47" s="75" t="s">
        <v>102</v>
      </c>
    </row>
    <row r="48" spans="2:5" x14ac:dyDescent="0.25">
      <c r="B48" s="20">
        <v>903318</v>
      </c>
      <c r="C48" s="22">
        <f>VLOOKUP(B48,[2]Samuel!$D:$H,5,0)</f>
        <v>1100.5001983671193</v>
      </c>
      <c r="D48" s="20">
        <v>1059549</v>
      </c>
      <c r="E48" s="75" t="s">
        <v>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Fábricas</vt:lpstr>
      <vt:lpstr>Proposta Assaí Outubro'25</vt:lpstr>
      <vt:lpstr>Contra Assaí Ultimo Tri</vt:lpstr>
      <vt:lpstr>Planilha4</vt:lpstr>
      <vt:lpstr>Proposta Final Assaí Ultimo Tri</vt:lpstr>
      <vt:lpstr>Proposta Final Assaí Fechada</vt:lpstr>
      <vt:lpstr>Fechamento Outubro'25 Nab</vt:lpstr>
      <vt:lpstr>Planilha3</vt:lpstr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Elinc Rocha</dc:creator>
  <cp:lastModifiedBy>Samuel Elinc Rocha</cp:lastModifiedBy>
  <dcterms:created xsi:type="dcterms:W3CDTF">2023-08-08T18:35:56Z</dcterms:created>
  <dcterms:modified xsi:type="dcterms:W3CDTF">2025-12-15T17:45:38Z</dcterms:modified>
</cp:coreProperties>
</file>